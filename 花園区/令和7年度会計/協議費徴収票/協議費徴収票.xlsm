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6.xml" ContentType="application/vnd.ms-excel.person+xml"/>
  <Override PartName="/xl/persons/person3.xml" ContentType="application/vnd.ms-excel.person+xml"/>
  <Override PartName="/xl/persons/person2.xml" ContentType="application/vnd.ms-excel.person+xml"/>
  <Override PartName="/xl/persons/person0.xml" ContentType="application/vnd.ms-excel.person+xml"/>
  <Override PartName="/xl/persons/person.xml" ContentType="application/vnd.ms-excel.person+xml"/>
  <Override PartName="/xl/persons/person4.xml" ContentType="application/vnd.ms-excel.person+xml"/>
  <Override PartName="/xl/persons/person5.xml" ContentType="application/vnd.ms-excel.person+xml"/>
  <Override PartName="/xl/persons/person1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cb880bfe68a5423/ドキュメント/花園区/令和6年度会計/USB/令和7年度会計/協議費徴収票/"/>
    </mc:Choice>
  </mc:AlternateContent>
  <xr:revisionPtr revIDLastSave="12" documentId="13_ncr:1_{DAB32D12-D9D0-4132-BDF2-E696699D7871}" xr6:coauthVersionLast="47" xr6:coauthVersionMax="47" xr10:uidLastSave="{699B4631-FA8B-45B2-8793-4EC02743777D}"/>
  <bookViews>
    <workbookView xWindow="-108" yWindow="-108" windowWidth="23256" windowHeight="13896" tabRatio="752" activeTab="6" xr2:uid="{E65AF8E0-EDAA-4370-B3E8-F89D2F9E61AC}"/>
  </bookViews>
  <sheets>
    <sheet name="組名簿" sheetId="1" r:id="rId1"/>
    <sheet name="印刷フォーマット" sheetId="2" r:id="rId2"/>
    <sheet name="徴収内訳" sheetId="3" r:id="rId3"/>
    <sheet name="募金・会費納入明細" sheetId="4" r:id="rId4"/>
    <sheet name="4月度" sheetId="7" r:id="rId5"/>
    <sheet name="5月度" sheetId="5" r:id="rId6"/>
    <sheet name="６月度" sheetId="8" r:id="rId7"/>
    <sheet name="7月度 " sheetId="9" r:id="rId8"/>
    <sheet name="8月度" sheetId="10" r:id="rId9"/>
    <sheet name="9月度" sheetId="11" r:id="rId10"/>
    <sheet name="10月度" sheetId="13" r:id="rId11"/>
    <sheet name="11月度" sheetId="14" r:id="rId12"/>
    <sheet name="12月度" sheetId="15" r:id="rId13"/>
    <sheet name="1月度" sheetId="16" r:id="rId14"/>
    <sheet name="大野様 前期" sheetId="6" r:id="rId15"/>
    <sheet name="大野様 後期" sheetId="12" r:id="rId16"/>
  </sheets>
  <definedNames>
    <definedName name="開始">組名簿!$H$4</definedName>
    <definedName name="終了">組名簿!$H$5</definedName>
    <definedName name="組">印刷フォーマット!$B$6</definedName>
    <definedName name="名前">印刷フォーマット!$C$6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2" i="16" l="1"/>
  <c r="J93" i="16"/>
  <c r="J96" i="16" s="1"/>
  <c r="H93" i="16"/>
  <c r="F93" i="16"/>
  <c r="C93" i="16"/>
  <c r="C91" i="16"/>
  <c r="D87" i="16"/>
  <c r="B91" i="16" s="1"/>
  <c r="J83" i="16"/>
  <c r="F75" i="16"/>
  <c r="J66" i="16"/>
  <c r="J69" i="16" s="1"/>
  <c r="H66" i="16"/>
  <c r="F66" i="16"/>
  <c r="C66" i="16"/>
  <c r="C64" i="16"/>
  <c r="D60" i="16"/>
  <c r="B64" i="16" s="1"/>
  <c r="J56" i="16"/>
  <c r="F48" i="16"/>
  <c r="J39" i="16"/>
  <c r="J42" i="16" s="1"/>
  <c r="H39" i="16"/>
  <c r="F39" i="16"/>
  <c r="C39" i="16"/>
  <c r="C37" i="16"/>
  <c r="D33" i="16"/>
  <c r="B37" i="16" s="1"/>
  <c r="J29" i="16"/>
  <c r="J15" i="16"/>
  <c r="J12" i="16"/>
  <c r="H12" i="16"/>
  <c r="J94" i="15"/>
  <c r="J67" i="15"/>
  <c r="J40" i="15"/>
  <c r="C93" i="15"/>
  <c r="C94" i="15"/>
  <c r="C95" i="15"/>
  <c r="C66" i="15"/>
  <c r="C67" i="15"/>
  <c r="C68" i="15"/>
  <c r="C39" i="15"/>
  <c r="C40" i="15"/>
  <c r="C41" i="15"/>
  <c r="F102" i="15"/>
  <c r="J93" i="15"/>
  <c r="H93" i="15"/>
  <c r="F93" i="15"/>
  <c r="C91" i="15"/>
  <c r="D87" i="15"/>
  <c r="B91" i="15" s="1"/>
  <c r="J83" i="15"/>
  <c r="F75" i="15"/>
  <c r="J66" i="15"/>
  <c r="H66" i="15"/>
  <c r="F66" i="15"/>
  <c r="C64" i="15"/>
  <c r="B64" i="15"/>
  <c r="D60" i="15"/>
  <c r="J56" i="15"/>
  <c r="F48" i="15"/>
  <c r="J39" i="15"/>
  <c r="H39" i="15"/>
  <c r="F39" i="15"/>
  <c r="C37" i="15"/>
  <c r="D33" i="15"/>
  <c r="B37" i="15" s="1"/>
  <c r="J29" i="15"/>
  <c r="J12" i="15"/>
  <c r="J15" i="15" s="1"/>
  <c r="H12" i="15"/>
  <c r="F94" i="14"/>
  <c r="F67" i="14"/>
  <c r="F40" i="14"/>
  <c r="F102" i="14"/>
  <c r="J94" i="14"/>
  <c r="C94" i="14"/>
  <c r="H93" i="14"/>
  <c r="F93" i="14"/>
  <c r="J93" i="14" s="1"/>
  <c r="C91" i="14"/>
  <c r="B91" i="14"/>
  <c r="D87" i="14"/>
  <c r="J83" i="14"/>
  <c r="F75" i="14"/>
  <c r="J67" i="14"/>
  <c r="C67" i="14"/>
  <c r="H66" i="14"/>
  <c r="F66" i="14"/>
  <c r="J66" i="14" s="1"/>
  <c r="C64" i="14"/>
  <c r="B64" i="14"/>
  <c r="D60" i="14"/>
  <c r="J56" i="14"/>
  <c r="F48" i="14"/>
  <c r="H40" i="14"/>
  <c r="C40" i="14"/>
  <c r="H39" i="14"/>
  <c r="J39" i="14" s="1"/>
  <c r="F39" i="14"/>
  <c r="C37" i="14"/>
  <c r="D33" i="14"/>
  <c r="B37" i="14" s="1"/>
  <c r="J29" i="14"/>
  <c r="J13" i="14"/>
  <c r="H12" i="14"/>
  <c r="J12" i="14" s="1"/>
  <c r="J15" i="14" s="1"/>
  <c r="O26" i="3"/>
  <c r="N26" i="3"/>
  <c r="M26" i="3"/>
  <c r="L26" i="3"/>
  <c r="P23" i="3"/>
  <c r="P21" i="3"/>
  <c r="P18" i="3"/>
  <c r="P15" i="3"/>
  <c r="P13" i="3"/>
  <c r="P10" i="3"/>
  <c r="M10" i="3"/>
  <c r="N10" i="3"/>
  <c r="O10" i="3"/>
  <c r="L10" i="3"/>
  <c r="O18" i="3"/>
  <c r="N18" i="3"/>
  <c r="M18" i="3"/>
  <c r="L18" i="3"/>
  <c r="O15" i="3"/>
  <c r="N15" i="3"/>
  <c r="M15" i="3"/>
  <c r="L15" i="3"/>
  <c r="M23" i="3"/>
  <c r="N23" i="3"/>
  <c r="O23" i="3"/>
  <c r="L23" i="3"/>
  <c r="O21" i="3"/>
  <c r="N21" i="3"/>
  <c r="M21" i="3"/>
  <c r="L21" i="3"/>
  <c r="H20" i="3"/>
  <c r="G20" i="3"/>
  <c r="F20" i="3"/>
  <c r="E20" i="3"/>
  <c r="B91" i="13"/>
  <c r="B64" i="13"/>
  <c r="B37" i="13"/>
  <c r="J95" i="13"/>
  <c r="F95" i="13"/>
  <c r="J68" i="13"/>
  <c r="F68" i="13"/>
  <c r="J41" i="13"/>
  <c r="H41" i="13"/>
  <c r="F41" i="13"/>
  <c r="J14" i="13"/>
  <c r="H14" i="13"/>
  <c r="J13" i="13"/>
  <c r="F103" i="13"/>
  <c r="J93" i="13"/>
  <c r="H93" i="13"/>
  <c r="F93" i="13"/>
  <c r="D87" i="13"/>
  <c r="J83" i="13"/>
  <c r="F76" i="13"/>
  <c r="J66" i="13"/>
  <c r="H66" i="13"/>
  <c r="F66" i="13"/>
  <c r="D60" i="13"/>
  <c r="J56" i="13"/>
  <c r="F49" i="13"/>
  <c r="H40" i="13"/>
  <c r="J39" i="13"/>
  <c r="H39" i="13"/>
  <c r="F39" i="13"/>
  <c r="D33" i="13"/>
  <c r="J29" i="13"/>
  <c r="J12" i="13"/>
  <c r="H12" i="13"/>
  <c r="F94" i="11"/>
  <c r="J94" i="11" s="1"/>
  <c r="F93" i="11"/>
  <c r="F67" i="11"/>
  <c r="F66" i="11"/>
  <c r="J66" i="11" s="1"/>
  <c r="F40" i="11"/>
  <c r="F103" i="11"/>
  <c r="H94" i="11"/>
  <c r="H93" i="11"/>
  <c r="J93" i="11"/>
  <c r="D87" i="11"/>
  <c r="J83" i="11"/>
  <c r="F76" i="11"/>
  <c r="J67" i="11"/>
  <c r="H66" i="11"/>
  <c r="D60" i="11"/>
  <c r="J56" i="11"/>
  <c r="F49" i="11"/>
  <c r="H40" i="11"/>
  <c r="H39" i="11"/>
  <c r="J39" i="11" s="1"/>
  <c r="F39" i="11"/>
  <c r="D33" i="11"/>
  <c r="J29" i="11"/>
  <c r="H13" i="11"/>
  <c r="J13" i="11" s="1"/>
  <c r="H12" i="11"/>
  <c r="J12" i="11" s="1"/>
  <c r="H18" i="3"/>
  <c r="G18" i="3"/>
  <c r="F18" i="3"/>
  <c r="E18" i="3"/>
  <c r="F102" i="10"/>
  <c r="J93" i="10"/>
  <c r="J96" i="10" s="1"/>
  <c r="H93" i="10"/>
  <c r="F93" i="10"/>
  <c r="C91" i="10"/>
  <c r="D87" i="10"/>
  <c r="B91" i="10" s="1"/>
  <c r="J83" i="10"/>
  <c r="F75" i="10"/>
  <c r="J66" i="10"/>
  <c r="J69" i="10" s="1"/>
  <c r="H66" i="10"/>
  <c r="F66" i="10"/>
  <c r="C64" i="10"/>
  <c r="D60" i="10"/>
  <c r="B64" i="10" s="1"/>
  <c r="J56" i="10"/>
  <c r="F48" i="10"/>
  <c r="J39" i="10"/>
  <c r="J42" i="10" s="1"/>
  <c r="H39" i="10"/>
  <c r="F39" i="10"/>
  <c r="C37" i="10"/>
  <c r="D33" i="10"/>
  <c r="B37" i="10" s="1"/>
  <c r="J29" i="10"/>
  <c r="J12" i="10"/>
  <c r="J15" i="10" s="1"/>
  <c r="H12" i="10"/>
  <c r="F102" i="9"/>
  <c r="C91" i="9"/>
  <c r="C64" i="9"/>
  <c r="C37" i="9"/>
  <c r="J94" i="9"/>
  <c r="C94" i="9"/>
  <c r="J93" i="9"/>
  <c r="J96" i="9" s="1"/>
  <c r="H93" i="9"/>
  <c r="F93" i="9"/>
  <c r="D87" i="9"/>
  <c r="B91" i="9" s="1"/>
  <c r="J83" i="9"/>
  <c r="F75" i="9"/>
  <c r="J67" i="9"/>
  <c r="J69" i="9" s="1"/>
  <c r="C67" i="9"/>
  <c r="J66" i="9"/>
  <c r="H66" i="9"/>
  <c r="F66" i="9"/>
  <c r="D60" i="9"/>
  <c r="B64" i="9" s="1"/>
  <c r="J56" i="9"/>
  <c r="F48" i="9"/>
  <c r="J40" i="9"/>
  <c r="J42" i="9" s="1"/>
  <c r="H40" i="9"/>
  <c r="C40" i="9"/>
  <c r="J39" i="9"/>
  <c r="H39" i="9"/>
  <c r="F39" i="9"/>
  <c r="D33" i="9"/>
  <c r="B37" i="9" s="1"/>
  <c r="J29" i="9"/>
  <c r="J13" i="9"/>
  <c r="J12" i="9"/>
  <c r="J15" i="9" s="1"/>
  <c r="H12" i="9"/>
  <c r="O13" i="3"/>
  <c r="N13" i="3"/>
  <c r="M13" i="3"/>
  <c r="L13" i="3"/>
  <c r="J42" i="8"/>
  <c r="J69" i="8"/>
  <c r="J96" i="8"/>
  <c r="C95" i="8"/>
  <c r="J95" i="8"/>
  <c r="C68" i="8"/>
  <c r="J68" i="8"/>
  <c r="J15" i="8"/>
  <c r="J41" i="8"/>
  <c r="H41" i="8"/>
  <c r="C41" i="8"/>
  <c r="J14" i="8"/>
  <c r="I12" i="3"/>
  <c r="H13" i="3"/>
  <c r="G13" i="3"/>
  <c r="F13" i="3"/>
  <c r="E13" i="3"/>
  <c r="H94" i="8"/>
  <c r="J94" i="8" s="1"/>
  <c r="H67" i="8"/>
  <c r="H40" i="8"/>
  <c r="J40" i="8" s="1"/>
  <c r="H13" i="8"/>
  <c r="J13" i="8" s="1"/>
  <c r="F102" i="8"/>
  <c r="C94" i="8"/>
  <c r="H93" i="8"/>
  <c r="F93" i="8"/>
  <c r="D87" i="8"/>
  <c r="B91" i="8" s="1"/>
  <c r="J83" i="8"/>
  <c r="F75" i="8"/>
  <c r="C67" i="8"/>
  <c r="H66" i="8"/>
  <c r="F66" i="8"/>
  <c r="D60" i="8"/>
  <c r="B64" i="8" s="1"/>
  <c r="J56" i="8"/>
  <c r="F48" i="8"/>
  <c r="C40" i="8"/>
  <c r="H39" i="8"/>
  <c r="F39" i="8"/>
  <c r="D33" i="8"/>
  <c r="B37" i="8" s="1"/>
  <c r="J29" i="8"/>
  <c r="H12" i="8"/>
  <c r="J12" i="8" s="1"/>
  <c r="H96" i="5"/>
  <c r="J96" i="5" s="1"/>
  <c r="H69" i="5"/>
  <c r="J69" i="5" s="1"/>
  <c r="H42" i="5"/>
  <c r="J42" i="5" s="1"/>
  <c r="H15" i="5"/>
  <c r="J15" i="5" s="1"/>
  <c r="J16" i="5" s="1"/>
  <c r="F103" i="7"/>
  <c r="H93" i="7"/>
  <c r="J93" i="7" s="1"/>
  <c r="F93" i="7"/>
  <c r="D87" i="7"/>
  <c r="B91" i="7" s="1"/>
  <c r="J83" i="7"/>
  <c r="F76" i="7"/>
  <c r="H66" i="7"/>
  <c r="J66" i="7" s="1"/>
  <c r="J70" i="7" s="1"/>
  <c r="F66" i="7"/>
  <c r="D60" i="7"/>
  <c r="B64" i="7" s="1"/>
  <c r="J56" i="7"/>
  <c r="F49" i="7"/>
  <c r="H39" i="7"/>
  <c r="J39" i="7" s="1"/>
  <c r="F39" i="7"/>
  <c r="D33" i="7"/>
  <c r="B37" i="7" s="1"/>
  <c r="J29" i="7"/>
  <c r="J12" i="7"/>
  <c r="J16" i="7" s="1"/>
  <c r="H12" i="7"/>
  <c r="F8" i="3"/>
  <c r="G8" i="3"/>
  <c r="H8" i="3"/>
  <c r="E8" i="3"/>
  <c r="C94" i="5"/>
  <c r="C95" i="5"/>
  <c r="C96" i="5"/>
  <c r="C67" i="5"/>
  <c r="C68" i="5"/>
  <c r="C69" i="5"/>
  <c r="C40" i="5"/>
  <c r="C41" i="5"/>
  <c r="C42" i="5"/>
  <c r="J95" i="5"/>
  <c r="J94" i="5"/>
  <c r="J67" i="5"/>
  <c r="H41" i="5"/>
  <c r="J41" i="5" s="1"/>
  <c r="H40" i="5"/>
  <c r="J40" i="5" s="1"/>
  <c r="H68" i="5"/>
  <c r="J68" i="5" s="1"/>
  <c r="H67" i="5"/>
  <c r="H95" i="5"/>
  <c r="H94" i="5"/>
  <c r="F95" i="5"/>
  <c r="F94" i="5"/>
  <c r="F93" i="5"/>
  <c r="F68" i="5"/>
  <c r="F67" i="5"/>
  <c r="F66" i="5"/>
  <c r="F41" i="5"/>
  <c r="F40" i="5"/>
  <c r="F39" i="5"/>
  <c r="H14" i="5"/>
  <c r="J14" i="5" s="1"/>
  <c r="H13" i="5"/>
  <c r="J13" i="5" s="1"/>
  <c r="F103" i="5"/>
  <c r="F76" i="5"/>
  <c r="F49" i="5"/>
  <c r="H93" i="5"/>
  <c r="H66" i="5"/>
  <c r="J66" i="5" s="1"/>
  <c r="H39" i="5"/>
  <c r="H12" i="5"/>
  <c r="J12" i="5" s="1"/>
  <c r="D87" i="5"/>
  <c r="B91" i="5" s="1"/>
  <c r="D60" i="5"/>
  <c r="B64" i="5" s="1"/>
  <c r="D33" i="5"/>
  <c r="B37" i="5" s="1"/>
  <c r="J83" i="5"/>
  <c r="J56" i="5"/>
  <c r="J29" i="5"/>
  <c r="D28" i="4"/>
  <c r="D17" i="4"/>
  <c r="D16" i="4"/>
  <c r="D15" i="4"/>
  <c r="G8" i="4"/>
  <c r="I8" i="4" s="1"/>
  <c r="G7" i="4"/>
  <c r="I7" i="4" s="1"/>
  <c r="G6" i="4"/>
  <c r="I6" i="4" s="1"/>
  <c r="G5" i="4"/>
  <c r="I5" i="4" s="1"/>
  <c r="B38" i="4"/>
  <c r="D38" i="4" s="1"/>
  <c r="B37" i="4"/>
  <c r="D37" i="4" s="1"/>
  <c r="B36" i="4"/>
  <c r="D36" i="4" s="1"/>
  <c r="B35" i="4"/>
  <c r="D35" i="4" s="1"/>
  <c r="D39" i="4" s="1"/>
  <c r="B28" i="4"/>
  <c r="B27" i="4"/>
  <c r="D27" i="4" s="1"/>
  <c r="B26" i="4"/>
  <c r="D26" i="4" s="1"/>
  <c r="B25" i="4"/>
  <c r="B29" i="4" s="1"/>
  <c r="B18" i="4"/>
  <c r="D18" i="4" s="1"/>
  <c r="B17" i="4"/>
  <c r="B16" i="4"/>
  <c r="B15" i="4"/>
  <c r="B8" i="4"/>
  <c r="D8" i="4" s="1"/>
  <c r="B7" i="4"/>
  <c r="D7" i="4" s="1"/>
  <c r="B6" i="4"/>
  <c r="D6" i="4" s="1"/>
  <c r="B5" i="4"/>
  <c r="P26" i="3" l="1"/>
  <c r="J96" i="15"/>
  <c r="J69" i="15"/>
  <c r="J42" i="15"/>
  <c r="J96" i="14"/>
  <c r="J69" i="14"/>
  <c r="J40" i="14"/>
  <c r="J42" i="14"/>
  <c r="J16" i="11"/>
  <c r="J40" i="11"/>
  <c r="J43" i="11" s="1"/>
  <c r="J70" i="11"/>
  <c r="J97" i="11"/>
  <c r="J67" i="8"/>
  <c r="J39" i="8"/>
  <c r="J93" i="8"/>
  <c r="J66" i="8"/>
  <c r="J43" i="7"/>
  <c r="J97" i="7"/>
  <c r="J70" i="5"/>
  <c r="I9" i="4"/>
  <c r="J93" i="5"/>
  <c r="J97" i="5" s="1"/>
  <c r="J39" i="5"/>
  <c r="J43" i="5" s="1"/>
  <c r="G9" i="4"/>
  <c r="B9" i="4"/>
  <c r="D5" i="4"/>
  <c r="D19" i="4"/>
  <c r="B19" i="4"/>
  <c r="D25" i="4"/>
  <c r="D29" i="4" s="1"/>
  <c r="I20" i="3"/>
  <c r="D9" i="4"/>
  <c r="B39" i="4"/>
  <c r="E9" i="3" l="1"/>
  <c r="F9" i="3"/>
  <c r="G9" i="3"/>
  <c r="H9" i="3"/>
  <c r="E10" i="3"/>
  <c r="F10" i="3"/>
  <c r="G10" i="3"/>
  <c r="H10" i="3"/>
  <c r="E11" i="3"/>
  <c r="F11" i="3"/>
  <c r="G11" i="3"/>
  <c r="H11" i="3"/>
  <c r="E14" i="3"/>
  <c r="F14" i="3"/>
  <c r="G14" i="3"/>
  <c r="H14" i="3"/>
  <c r="E15" i="3"/>
  <c r="F15" i="3"/>
  <c r="G15" i="3"/>
  <c r="H15" i="3"/>
  <c r="E16" i="3"/>
  <c r="F16" i="3"/>
  <c r="G16" i="3"/>
  <c r="H16" i="3"/>
  <c r="E17" i="3"/>
  <c r="F17" i="3"/>
  <c r="G17" i="3"/>
  <c r="H17" i="3"/>
  <c r="E19" i="3"/>
  <c r="F19" i="3"/>
  <c r="G19" i="3"/>
  <c r="H19" i="3"/>
  <c r="E21" i="3"/>
  <c r="F21" i="3"/>
  <c r="G21" i="3"/>
  <c r="H21" i="3"/>
  <c r="E22" i="3"/>
  <c r="F22" i="3"/>
  <c r="G22" i="3"/>
  <c r="H22" i="3"/>
  <c r="E23" i="3"/>
  <c r="F23" i="3"/>
  <c r="G23" i="3"/>
  <c r="H23" i="3"/>
  <c r="E24" i="3"/>
  <c r="F24" i="3"/>
  <c r="G24" i="3"/>
  <c r="H24" i="3"/>
  <c r="E27" i="3"/>
  <c r="F27" i="3"/>
  <c r="G27" i="3"/>
  <c r="H27" i="3"/>
  <c r="E28" i="3"/>
  <c r="F28" i="3"/>
  <c r="G28" i="3"/>
  <c r="H28" i="3"/>
  <c r="E29" i="3"/>
  <c r="F29" i="3"/>
  <c r="G29" i="3"/>
  <c r="H29" i="3"/>
  <c r="E7" i="3"/>
  <c r="F7" i="3"/>
  <c r="G7" i="3"/>
  <c r="H7" i="3"/>
  <c r="F5" i="3"/>
  <c r="G5" i="3"/>
  <c r="H5" i="3"/>
  <c r="E5" i="3"/>
  <c r="E55" i="1"/>
  <c r="E43" i="1"/>
  <c r="E27" i="1"/>
  <c r="E16" i="1"/>
  <c r="B4" i="2"/>
  <c r="I5" i="3" l="1"/>
  <c r="J5" i="3" s="1"/>
  <c r="I24" i="3"/>
  <c r="I29" i="3"/>
  <c r="J29" i="3" s="1"/>
  <c r="I18" i="3"/>
  <c r="I13" i="3"/>
  <c r="J13" i="3" s="1"/>
  <c r="I28" i="3"/>
  <c r="J28" i="3" s="1"/>
  <c r="I23" i="3"/>
  <c r="I17" i="3"/>
  <c r="I11" i="3"/>
  <c r="I27" i="3"/>
  <c r="J27" i="3" s="1"/>
  <c r="I22" i="3"/>
  <c r="I16" i="3"/>
  <c r="J16" i="3" s="1"/>
  <c r="I10" i="3"/>
  <c r="I26" i="3"/>
  <c r="I21" i="3"/>
  <c r="I15" i="3"/>
  <c r="I9" i="3"/>
  <c r="I7" i="3"/>
  <c r="I25" i="3"/>
  <c r="I19" i="3"/>
  <c r="J21" i="3" s="1"/>
  <c r="I14" i="3"/>
  <c r="J15" i="3" s="1"/>
  <c r="I8" i="3"/>
  <c r="J26" i="3" l="1"/>
  <c r="J23" i="3"/>
  <c r="J18" i="3"/>
  <c r="J10" i="3"/>
  <c r="F94" i="13"/>
  <c r="J94" i="13" s="1"/>
  <c r="J97" i="13" s="1"/>
  <c r="J16" i="13"/>
  <c r="F67" i="13"/>
  <c r="J67" i="13" s="1"/>
  <c r="J70" i="13" s="1"/>
  <c r="F40" i="13"/>
  <c r="J40" i="13"/>
  <c r="J43" i="13"/>
</calcChain>
</file>

<file path=xl/sharedStrings.xml><?xml version="1.0" encoding="utf-8"?>
<sst xmlns="http://schemas.openxmlformats.org/spreadsheetml/2006/main" count="1110" uniqueCount="191">
  <si>
    <t>組</t>
    <rPh sb="0" eb="1">
      <t>クミ</t>
    </rPh>
    <phoneticPr fontId="1"/>
  </si>
  <si>
    <t>名前</t>
    <rPh sb="0" eb="2">
      <t>ナマエ</t>
    </rPh>
    <phoneticPr fontId="1"/>
  </si>
  <si>
    <t>協議費徴収袋（2，000円/月）</t>
    <phoneticPr fontId="1"/>
  </si>
  <si>
    <t>様</t>
    <rPh sb="0" eb="1">
      <t>サマ</t>
    </rPh>
    <phoneticPr fontId="1"/>
  </si>
  <si>
    <t>4月</t>
    <rPh sb="1" eb="2">
      <t>ガツ</t>
    </rPh>
    <phoneticPr fontId="1"/>
  </si>
  <si>
    <t>5月</t>
  </si>
  <si>
    <t>6月</t>
  </si>
  <si>
    <t>7月</t>
    <rPh sb="1" eb="2">
      <t>ガツ</t>
    </rPh>
    <phoneticPr fontId="1"/>
  </si>
  <si>
    <t>10月</t>
    <rPh sb="2" eb="3">
      <t>ガツ</t>
    </rPh>
    <phoneticPr fontId="1"/>
  </si>
  <si>
    <t>1月</t>
    <rPh sb="1" eb="2">
      <t>ガツ</t>
    </rPh>
    <phoneticPr fontId="1"/>
  </si>
  <si>
    <t>8月</t>
  </si>
  <si>
    <t>9月</t>
  </si>
  <si>
    <t>11月</t>
  </si>
  <si>
    <t>12月</t>
  </si>
  <si>
    <t>※</t>
    <phoneticPr fontId="1"/>
  </si>
  <si>
    <t>2組</t>
    <rPh sb="1" eb="2">
      <t>クミ</t>
    </rPh>
    <phoneticPr fontId="1"/>
  </si>
  <si>
    <t>※月末までに納入してください</t>
  </si>
  <si>
    <t>花園区区長</t>
    <rPh sb="0" eb="3">
      <t>ハナゾノク</t>
    </rPh>
    <rPh sb="3" eb="5">
      <t>クチョウ</t>
    </rPh>
    <phoneticPr fontId="1"/>
  </si>
  <si>
    <t xml:space="preserve"> 村田義孝</t>
    <rPh sb="1" eb="5">
      <t>ムラタヨシタカ</t>
    </rPh>
    <phoneticPr fontId="1"/>
  </si>
  <si>
    <t>会計</t>
    <rPh sb="0" eb="2">
      <t>カイケイ</t>
    </rPh>
    <phoneticPr fontId="1"/>
  </si>
  <si>
    <t xml:space="preserve"> 米津道彦</t>
    <rPh sb="1" eb="5">
      <t>ヨネツミチヒコ</t>
    </rPh>
    <phoneticPr fontId="1"/>
  </si>
  <si>
    <t>花 園 区</t>
    <phoneticPr fontId="1"/>
  </si>
  <si>
    <t>林　　博美</t>
    <rPh sb="0" eb="1">
      <t>ハヤシ</t>
    </rPh>
    <rPh sb="3" eb="5">
      <t>ヒロミ</t>
    </rPh>
    <phoneticPr fontId="8"/>
  </si>
  <si>
    <t>森口　信哉</t>
    <rPh sb="0" eb="2">
      <t>モリグチ</t>
    </rPh>
    <rPh sb="3" eb="5">
      <t>ノブヤ</t>
    </rPh>
    <phoneticPr fontId="8"/>
  </si>
  <si>
    <t>勝村　誠一</t>
    <rPh sb="0" eb="2">
      <t>カツムラ</t>
    </rPh>
    <rPh sb="3" eb="5">
      <t>セイイチ</t>
    </rPh>
    <phoneticPr fontId="8"/>
  </si>
  <si>
    <t>澤田　涼太</t>
    <rPh sb="0" eb="2">
      <t>サワダ</t>
    </rPh>
    <rPh sb="3" eb="5">
      <t>リョウタ</t>
    </rPh>
    <phoneticPr fontId="8"/>
  </si>
  <si>
    <t>谷口 　康浩</t>
    <rPh sb="4" eb="5">
      <t>ヤス</t>
    </rPh>
    <rPh sb="5" eb="6">
      <t>ヒロ</t>
    </rPh>
    <phoneticPr fontId="8"/>
  </si>
  <si>
    <t>谷口　嘉治</t>
    <rPh sb="3" eb="5">
      <t>ヨシハル</t>
    </rPh>
    <phoneticPr fontId="8"/>
  </si>
  <si>
    <t>中島 　道代</t>
    <phoneticPr fontId="8"/>
  </si>
  <si>
    <t>林      茂夫</t>
    <phoneticPr fontId="8"/>
  </si>
  <si>
    <t>吉田   文夫</t>
    <rPh sb="0" eb="2">
      <t>ヨシダ</t>
    </rPh>
    <rPh sb="5" eb="7">
      <t>フミオ</t>
    </rPh>
    <phoneticPr fontId="8"/>
  </si>
  <si>
    <t>平林 　敏也</t>
    <phoneticPr fontId="8"/>
  </si>
  <si>
    <t>福島　崇行</t>
    <rPh sb="3" eb="5">
      <t>タカユキ</t>
    </rPh>
    <phoneticPr fontId="8"/>
  </si>
  <si>
    <t>吉田　 幸雄</t>
    <rPh sb="0" eb="2">
      <t>ヨシダ</t>
    </rPh>
    <rPh sb="4" eb="6">
      <t>ユキオ</t>
    </rPh>
    <phoneticPr fontId="8"/>
  </si>
  <si>
    <t>𠮷田 　高男</t>
    <rPh sb="0" eb="3">
      <t>ヨシダ</t>
    </rPh>
    <phoneticPr fontId="8"/>
  </si>
  <si>
    <t>𠮷田　 正朋</t>
    <rPh sb="0" eb="3">
      <t>ヨシダ</t>
    </rPh>
    <phoneticPr fontId="8"/>
  </si>
  <si>
    <t>1組</t>
    <rPh sb="1" eb="2">
      <t>クミ</t>
    </rPh>
    <phoneticPr fontId="1"/>
  </si>
  <si>
    <t>林　正利</t>
    <rPh sb="0" eb="1">
      <t>ハヤシ</t>
    </rPh>
    <rPh sb="2" eb="4">
      <t>マサトシ</t>
    </rPh>
    <phoneticPr fontId="8"/>
  </si>
  <si>
    <t>村田　義孝</t>
    <rPh sb="0" eb="2">
      <t>ムラタ</t>
    </rPh>
    <rPh sb="3" eb="5">
      <t>ヨシタカ</t>
    </rPh>
    <phoneticPr fontId="8"/>
  </si>
  <si>
    <t>谷口　眞一</t>
    <rPh sb="0" eb="2">
      <t>タニグチ</t>
    </rPh>
    <rPh sb="3" eb="5">
      <t>シンイチ</t>
    </rPh>
    <phoneticPr fontId="8"/>
  </si>
  <si>
    <t>勝村　耕作</t>
    <rPh sb="0" eb="2">
      <t>カツムラ</t>
    </rPh>
    <rPh sb="3" eb="5">
      <t>コウサク</t>
    </rPh>
    <phoneticPr fontId="8"/>
  </si>
  <si>
    <t>谷口　仁民</t>
    <rPh sb="0" eb="2">
      <t>タニグチ</t>
    </rPh>
    <phoneticPr fontId="8"/>
  </si>
  <si>
    <t>林　 　作一</t>
    <phoneticPr fontId="8"/>
  </si>
  <si>
    <t>松山　 辰也</t>
    <rPh sb="0" eb="2">
      <t>マツヤマ</t>
    </rPh>
    <rPh sb="4" eb="6">
      <t>タツヤ</t>
    </rPh>
    <phoneticPr fontId="8"/>
  </si>
  <si>
    <t>林　 　典王</t>
    <phoneticPr fontId="8"/>
  </si>
  <si>
    <t>谷口　忠一</t>
    <rPh sb="0" eb="2">
      <t>タニグチ</t>
    </rPh>
    <rPh sb="3" eb="5">
      <t>チュウイチ</t>
    </rPh>
    <phoneticPr fontId="8"/>
  </si>
  <si>
    <t>米津　進次</t>
  </si>
  <si>
    <t>米津　道彦</t>
  </si>
  <si>
    <t>望月　   弘志</t>
    <rPh sb="0" eb="2">
      <t>モチズキ</t>
    </rPh>
    <rPh sb="6" eb="8">
      <t>ヒロシ</t>
    </rPh>
    <phoneticPr fontId="8"/>
  </si>
  <si>
    <t>三牧　  健二</t>
    <rPh sb="0" eb="2">
      <t>ミマキ</t>
    </rPh>
    <rPh sb="5" eb="7">
      <t>ケンジ</t>
    </rPh>
    <phoneticPr fontId="8"/>
  </si>
  <si>
    <t>市井　　しげ</t>
    <phoneticPr fontId="8"/>
  </si>
  <si>
    <t>田中　 陽一</t>
    <rPh sb="0" eb="2">
      <t>タナカ</t>
    </rPh>
    <rPh sb="4" eb="6">
      <t>ヨウイチ</t>
    </rPh>
    <phoneticPr fontId="8"/>
  </si>
  <si>
    <t>谷口    　学</t>
    <phoneticPr fontId="8"/>
  </si>
  <si>
    <t>谷口　　　縁</t>
    <rPh sb="5" eb="6">
      <t>ユカリ</t>
    </rPh>
    <phoneticPr fontId="8"/>
  </si>
  <si>
    <t>林         治</t>
    <phoneticPr fontId="8"/>
  </si>
  <si>
    <t>林　　　竜也</t>
    <rPh sb="4" eb="5">
      <t>リュウ</t>
    </rPh>
    <rPh sb="5" eb="6">
      <t>ヤ</t>
    </rPh>
    <phoneticPr fontId="8"/>
  </si>
  <si>
    <t>林　　美千代</t>
    <rPh sb="0" eb="1">
      <t>ハヤシ</t>
    </rPh>
    <rPh sb="3" eb="6">
      <t>ミチヨ</t>
    </rPh>
    <phoneticPr fontId="8"/>
  </si>
  <si>
    <t>林　　　　豊</t>
    <phoneticPr fontId="8"/>
  </si>
  <si>
    <t>林　　　謙滋</t>
    <rPh sb="0" eb="1">
      <t>ハヤシ</t>
    </rPh>
    <rPh sb="4" eb="5">
      <t>ケン</t>
    </rPh>
    <rPh sb="5" eb="6">
      <t>シゲル</t>
    </rPh>
    <phoneticPr fontId="8"/>
  </si>
  <si>
    <t>望月　直人</t>
    <phoneticPr fontId="8"/>
  </si>
  <si>
    <t>望月 　任規</t>
    <rPh sb="0" eb="2">
      <t>モチヅキ</t>
    </rPh>
    <phoneticPr fontId="8"/>
  </si>
  <si>
    <t>望月　　潔</t>
    <rPh sb="4" eb="5">
      <t>キヨシ</t>
    </rPh>
    <phoneticPr fontId="8"/>
  </si>
  <si>
    <t>望月　雅幸</t>
    <rPh sb="3" eb="5">
      <t>マサユキ</t>
    </rPh>
    <phoneticPr fontId="8"/>
  </si>
  <si>
    <t>望月　隆治</t>
  </si>
  <si>
    <t>3組</t>
    <rPh sb="1" eb="2">
      <t>クミ</t>
    </rPh>
    <phoneticPr fontId="1"/>
  </si>
  <si>
    <t>三牧　長久</t>
    <rPh sb="0" eb="2">
      <t>ミマキ</t>
    </rPh>
    <rPh sb="3" eb="5">
      <t>ナガヒサ</t>
    </rPh>
    <phoneticPr fontId="8"/>
  </si>
  <si>
    <t>勝村 　まさ</t>
    <rPh sb="0" eb="2">
      <t>カツムラ</t>
    </rPh>
    <phoneticPr fontId="8"/>
  </si>
  <si>
    <t>曽我部　正志</t>
    <rPh sb="0" eb="1">
      <t>ソ</t>
    </rPh>
    <rPh sb="4" eb="6">
      <t>マサシ</t>
    </rPh>
    <phoneticPr fontId="8"/>
  </si>
  <si>
    <t>田中登志夫</t>
    <phoneticPr fontId="8"/>
  </si>
  <si>
    <t>谷口　 市司</t>
    <rPh sb="4" eb="5">
      <t>イチ</t>
    </rPh>
    <rPh sb="5" eb="6">
      <t>シ</t>
    </rPh>
    <phoneticPr fontId="8"/>
  </si>
  <si>
    <t>谷口　 治夫</t>
    <phoneticPr fontId="8"/>
  </si>
  <si>
    <t>林　 　茂浩</t>
    <phoneticPr fontId="8"/>
  </si>
  <si>
    <t>林　　  　誠</t>
    <phoneticPr fontId="8"/>
  </si>
  <si>
    <t>林　　 雅夫</t>
    <phoneticPr fontId="8"/>
  </si>
  <si>
    <t>三牧亥知治</t>
  </si>
  <si>
    <t>加藤　　 靖</t>
    <rPh sb="0" eb="2">
      <t>カトウ</t>
    </rPh>
    <rPh sb="5" eb="6">
      <t>セイ</t>
    </rPh>
    <phoneticPr fontId="8"/>
  </si>
  <si>
    <t>4組</t>
    <rPh sb="1" eb="2">
      <t>クミ</t>
    </rPh>
    <phoneticPr fontId="1"/>
  </si>
  <si>
    <r>
      <t>辻清仁</t>
    </r>
    <r>
      <rPr>
        <sz val="9"/>
        <rFont val="Meiryo UI"/>
        <family val="3"/>
        <charset val="128"/>
      </rPr>
      <t>（寺）</t>
    </r>
  </si>
  <si>
    <t>開始</t>
    <rPh sb="0" eb="2">
      <t>カイシ</t>
    </rPh>
    <phoneticPr fontId="1"/>
  </si>
  <si>
    <t>終了</t>
    <rPh sb="0" eb="2">
      <t>シュウリョウ</t>
    </rPh>
    <phoneticPr fontId="1"/>
  </si>
  <si>
    <t>5月</t>
    <rPh sb="1" eb="2">
      <t>ガツ</t>
    </rPh>
    <phoneticPr fontId="1"/>
  </si>
  <si>
    <t>2月</t>
  </si>
  <si>
    <t>3月</t>
  </si>
  <si>
    <t>正法寺維持費（前期）</t>
    <rPh sb="0" eb="3">
      <t>ショウボウジ</t>
    </rPh>
    <rPh sb="3" eb="6">
      <t>イジヒ</t>
    </rPh>
    <rPh sb="7" eb="9">
      <t>ゼンキ</t>
    </rPh>
    <phoneticPr fontId="1"/>
  </si>
  <si>
    <t>日本赤十字会費</t>
    <rPh sb="0" eb="5">
      <t>ニホンセキジュウジ</t>
    </rPh>
    <rPh sb="5" eb="7">
      <t>カイヒ</t>
    </rPh>
    <phoneticPr fontId="1"/>
  </si>
  <si>
    <t>6月</t>
    <rPh sb="1" eb="2">
      <t>ガツ</t>
    </rPh>
    <phoneticPr fontId="1"/>
  </si>
  <si>
    <t>八坂神社維持費・行事費（前期）</t>
    <rPh sb="0" eb="4">
      <t>ヤサカジンジャ</t>
    </rPh>
    <rPh sb="4" eb="7">
      <t>イジヒ</t>
    </rPh>
    <rPh sb="8" eb="10">
      <t>ギョウジ</t>
    </rPh>
    <rPh sb="10" eb="11">
      <t>ヒ</t>
    </rPh>
    <rPh sb="12" eb="14">
      <t>ゼンキ</t>
    </rPh>
    <phoneticPr fontId="1"/>
  </si>
  <si>
    <t>７月</t>
    <rPh sb="1" eb="2">
      <t>ガツ</t>
    </rPh>
    <phoneticPr fontId="1"/>
  </si>
  <si>
    <t>社会福祉協議会会費</t>
    <rPh sb="0" eb="4">
      <t>シャカイフクシ</t>
    </rPh>
    <rPh sb="4" eb="7">
      <t>キョウギカイ</t>
    </rPh>
    <rPh sb="7" eb="9">
      <t>カイヒ</t>
    </rPh>
    <phoneticPr fontId="1"/>
  </si>
  <si>
    <t>8月</t>
    <rPh sb="1" eb="2">
      <t>ガツ</t>
    </rPh>
    <phoneticPr fontId="1"/>
  </si>
  <si>
    <t>区協議費</t>
    <rPh sb="0" eb="1">
      <t>ク</t>
    </rPh>
    <rPh sb="1" eb="4">
      <t>キョウギヒ</t>
    </rPh>
    <phoneticPr fontId="1"/>
  </si>
  <si>
    <t>9月</t>
    <rPh sb="1" eb="2">
      <t>ガツ</t>
    </rPh>
    <phoneticPr fontId="1"/>
  </si>
  <si>
    <t>正法寺維持費（後期）</t>
    <rPh sb="0" eb="3">
      <t>ショウボウジ</t>
    </rPh>
    <rPh sb="3" eb="6">
      <t>イジヒ</t>
    </rPh>
    <rPh sb="7" eb="9">
      <t>コウキ</t>
    </rPh>
    <phoneticPr fontId="1"/>
  </si>
  <si>
    <t>八坂神社維持費・行事費（後期）</t>
    <rPh sb="0" eb="4">
      <t>ヤサカジンジャ</t>
    </rPh>
    <rPh sb="4" eb="7">
      <t>イジヒ</t>
    </rPh>
    <rPh sb="8" eb="10">
      <t>ギョウジ</t>
    </rPh>
    <rPh sb="10" eb="11">
      <t>ヒ</t>
    </rPh>
    <rPh sb="12" eb="14">
      <t>コウキ</t>
    </rPh>
    <phoneticPr fontId="1"/>
  </si>
  <si>
    <t>11月</t>
    <rPh sb="2" eb="3">
      <t>ガツ</t>
    </rPh>
    <phoneticPr fontId="1"/>
  </si>
  <si>
    <t>歳末助け合い募金</t>
    <rPh sb="0" eb="2">
      <t>サイマツ</t>
    </rPh>
    <rPh sb="2" eb="3">
      <t>タス</t>
    </rPh>
    <rPh sb="4" eb="5">
      <t>ア</t>
    </rPh>
    <rPh sb="6" eb="8">
      <t>ボキン</t>
    </rPh>
    <phoneticPr fontId="1"/>
  </si>
  <si>
    <t>12月</t>
    <rPh sb="2" eb="3">
      <t>ガツ</t>
    </rPh>
    <phoneticPr fontId="1"/>
  </si>
  <si>
    <t>山年貢</t>
    <rPh sb="0" eb="3">
      <t>ヤマネング</t>
    </rPh>
    <phoneticPr fontId="1"/>
  </si>
  <si>
    <t>水利費</t>
    <rPh sb="0" eb="3">
      <t>スイリヒ</t>
    </rPh>
    <phoneticPr fontId="1"/>
  </si>
  <si>
    <t>緑の羽根募金</t>
    <rPh sb="0" eb="1">
      <t>ミドリ</t>
    </rPh>
    <rPh sb="2" eb="4">
      <t>ハネ</t>
    </rPh>
    <rPh sb="4" eb="6">
      <t>ボキン</t>
    </rPh>
    <phoneticPr fontId="1"/>
  </si>
  <si>
    <t>赤い羽根共同募金</t>
    <rPh sb="0" eb="1">
      <t>アカ</t>
    </rPh>
    <rPh sb="2" eb="4">
      <t>ハネ</t>
    </rPh>
    <rPh sb="4" eb="8">
      <t>キョウドウボキン</t>
    </rPh>
    <phoneticPr fontId="1"/>
  </si>
  <si>
    <t>徴収月　５月</t>
    <rPh sb="0" eb="2">
      <t>チョウシュウ</t>
    </rPh>
    <rPh sb="2" eb="3">
      <t>ヅキ</t>
    </rPh>
    <rPh sb="5" eb="6">
      <t>ガツ</t>
    </rPh>
    <phoneticPr fontId="1"/>
  </si>
  <si>
    <t>日本赤十字社会費</t>
    <rPh sb="0" eb="6">
      <t>ニホンセキジュウジシャ</t>
    </rPh>
    <rPh sb="6" eb="8">
      <t>カイヒ</t>
    </rPh>
    <phoneticPr fontId="1"/>
  </si>
  <si>
    <t>緑の羽根募金</t>
    <rPh sb="0" eb="1">
      <t>ミドリ</t>
    </rPh>
    <rPh sb="2" eb="6">
      <t>ハネボキン</t>
    </rPh>
    <phoneticPr fontId="1"/>
  </si>
  <si>
    <t>１組</t>
    <rPh sb="1" eb="2">
      <t>クミ</t>
    </rPh>
    <phoneticPr fontId="1"/>
  </si>
  <si>
    <t>２組</t>
    <rPh sb="1" eb="2">
      <t>クミ</t>
    </rPh>
    <phoneticPr fontId="1"/>
  </si>
  <si>
    <t>３組</t>
    <rPh sb="1" eb="2">
      <t>クミ</t>
    </rPh>
    <phoneticPr fontId="1"/>
  </si>
  <si>
    <t>４組</t>
    <rPh sb="1" eb="2">
      <t>クミ</t>
    </rPh>
    <phoneticPr fontId="1"/>
  </si>
  <si>
    <t>合計</t>
    <rPh sb="0" eb="2">
      <t>ゴウケイ</t>
    </rPh>
    <phoneticPr fontId="1"/>
  </si>
  <si>
    <t>納入先　社会福祉協議会</t>
    <rPh sb="0" eb="3">
      <t>ノウニュウサキ</t>
    </rPh>
    <rPh sb="4" eb="11">
      <t>シャカイフクシキョウギカイ</t>
    </rPh>
    <phoneticPr fontId="1"/>
  </si>
  <si>
    <t>納入先　湖南市農林課</t>
    <rPh sb="0" eb="3">
      <t>ノウニュウサキ</t>
    </rPh>
    <rPh sb="4" eb="7">
      <t>コナンシ</t>
    </rPh>
    <rPh sb="7" eb="10">
      <t>ノウリンカ</t>
    </rPh>
    <phoneticPr fontId="1"/>
  </si>
  <si>
    <t>徴収月　７月</t>
    <rPh sb="0" eb="2">
      <t>チョウシュウ</t>
    </rPh>
    <rPh sb="2" eb="3">
      <t>ヅキ</t>
    </rPh>
    <rPh sb="5" eb="6">
      <t>ガツ</t>
    </rPh>
    <phoneticPr fontId="1"/>
  </si>
  <si>
    <t>社会福祉協議会会費</t>
    <rPh sb="0" eb="7">
      <t>シャカイフクシキョウギカイ</t>
    </rPh>
    <rPh sb="7" eb="9">
      <t>カイヒ</t>
    </rPh>
    <phoneticPr fontId="1"/>
  </si>
  <si>
    <t>徴収月　１０月</t>
    <rPh sb="0" eb="2">
      <t>チョウシュウ</t>
    </rPh>
    <rPh sb="2" eb="3">
      <t>ヅキ</t>
    </rPh>
    <rPh sb="6" eb="7">
      <t>ガツ</t>
    </rPh>
    <phoneticPr fontId="1"/>
  </si>
  <si>
    <t>赤い羽根共同募金</t>
    <rPh sb="0" eb="1">
      <t>アカ</t>
    </rPh>
    <rPh sb="2" eb="4">
      <t>ハネ</t>
    </rPh>
    <rPh sb="4" eb="6">
      <t>キョウドウ</t>
    </rPh>
    <rPh sb="6" eb="8">
      <t>ボキン</t>
    </rPh>
    <phoneticPr fontId="1"/>
  </si>
  <si>
    <t>徴収月　１１月</t>
    <rPh sb="0" eb="2">
      <t>チョウシュウ</t>
    </rPh>
    <rPh sb="2" eb="3">
      <t>ヅキ</t>
    </rPh>
    <rPh sb="6" eb="7">
      <t>ガツ</t>
    </rPh>
    <phoneticPr fontId="1"/>
  </si>
  <si>
    <t>令和６年度</t>
    <rPh sb="0" eb="2">
      <t>レイワ</t>
    </rPh>
    <rPh sb="3" eb="5">
      <t>ネンド</t>
    </rPh>
    <phoneticPr fontId="1"/>
  </si>
  <si>
    <t>戸</t>
    <rPh sb="0" eb="1">
      <t>コ</t>
    </rPh>
    <phoneticPr fontId="1"/>
  </si>
  <si>
    <t>一世帯</t>
    <rPh sb="0" eb="3">
      <t>イッセタイ</t>
    </rPh>
    <phoneticPr fontId="1"/>
  </si>
  <si>
    <t>@</t>
    <phoneticPr fontId="1"/>
  </si>
  <si>
    <t>組 会計様</t>
    <rPh sb="0" eb="1">
      <t>クミ</t>
    </rPh>
    <rPh sb="2" eb="4">
      <t>カイケイ</t>
    </rPh>
    <rPh sb="4" eb="5">
      <t>サマ</t>
    </rPh>
    <phoneticPr fontId="1"/>
  </si>
  <si>
    <t>日頃のご協力感謝いたします。</t>
    <rPh sb="0" eb="2">
      <t>ヒゴロ</t>
    </rPh>
    <rPh sb="4" eb="6">
      <t>キョウリョク</t>
    </rPh>
    <rPh sb="6" eb="8">
      <t>カンシャ</t>
    </rPh>
    <phoneticPr fontId="1"/>
  </si>
  <si>
    <t>月の徴収明細は以下の通りです。</t>
    <rPh sb="0" eb="1">
      <t>ツキ</t>
    </rPh>
    <rPh sb="2" eb="4">
      <t>チョウシュウ</t>
    </rPh>
    <rPh sb="4" eb="6">
      <t>メイサイ</t>
    </rPh>
    <rPh sb="7" eb="9">
      <t>イカ</t>
    </rPh>
    <rPh sb="10" eb="11">
      <t>トオ</t>
    </rPh>
    <phoneticPr fontId="1"/>
  </si>
  <si>
    <t>・区協議費</t>
    <rPh sb="1" eb="2">
      <t>ク</t>
    </rPh>
    <rPh sb="2" eb="5">
      <t>キョウギヒ</t>
    </rPh>
    <phoneticPr fontId="1"/>
  </si>
  <si>
    <t>円／</t>
    <rPh sb="0" eb="1">
      <t>エン</t>
    </rPh>
    <phoneticPr fontId="1"/>
  </si>
  <si>
    <t>円</t>
    <rPh sb="0" eb="1">
      <t>エン</t>
    </rPh>
    <phoneticPr fontId="1"/>
  </si>
  <si>
    <t>花園区</t>
    <rPh sb="0" eb="3">
      <t>ハナゾノク</t>
    </rPh>
    <phoneticPr fontId="1"/>
  </si>
  <si>
    <t>会計 米津道彦</t>
    <rPh sb="0" eb="2">
      <t>カイケイ</t>
    </rPh>
    <rPh sb="3" eb="5">
      <t>ヨネツ</t>
    </rPh>
    <rPh sb="5" eb="7">
      <t>ミチヒコ</t>
    </rPh>
    <phoneticPr fontId="1"/>
  </si>
  <si>
    <t>米津宅までお願いいたします。</t>
    <rPh sb="0" eb="2">
      <t>ヨネツ</t>
    </rPh>
    <rPh sb="2" eb="3">
      <t>タク</t>
    </rPh>
    <rPh sb="6" eb="7">
      <t>ネガ</t>
    </rPh>
    <phoneticPr fontId="1"/>
  </si>
  <si>
    <t>領収印</t>
    <rPh sb="0" eb="3">
      <t>リョウシュウイン</t>
    </rPh>
    <phoneticPr fontId="1"/>
  </si>
  <si>
    <t>※なにかありましたら 090-1488-4362 米津まで連絡願います。</t>
    <rPh sb="25" eb="27">
      <t>ヨネツ</t>
    </rPh>
    <rPh sb="29" eb="32">
      <t>レンラクネガ</t>
    </rPh>
    <phoneticPr fontId="1"/>
  </si>
  <si>
    <t>月期徴収について</t>
  </si>
  <si>
    <t>※ 本用紙を受け取り証明とさせて頂きます。</t>
    <rPh sb="2" eb="5">
      <t>ホンヨウシ</t>
    </rPh>
    <rPh sb="6" eb="7">
      <t>ウ</t>
    </rPh>
    <rPh sb="8" eb="9">
      <t>ト</t>
    </rPh>
    <rPh sb="10" eb="12">
      <t>ショウメイ</t>
    </rPh>
    <rPh sb="16" eb="17">
      <t>イタダ</t>
    </rPh>
    <phoneticPr fontId="1"/>
  </si>
  <si>
    <t xml:space="preserve">今月の徴収は  </t>
    <rPh sb="0" eb="2">
      <t>コンゲツ</t>
    </rPh>
    <rPh sb="3" eb="5">
      <t>チョウシュウ</t>
    </rPh>
    <phoneticPr fontId="1"/>
  </si>
  <si>
    <t>金額 : ￥１０，０００．－</t>
    <phoneticPr fontId="1"/>
  </si>
  <si>
    <t>いつもお世話になっております。
区協議費の徴収を致したくお知らせさせて頂きました。
ご確認いただければ幸いです。</t>
    <rPh sb="24" eb="25">
      <t>イタ</t>
    </rPh>
    <rPh sb="29" eb="30">
      <t>シ</t>
    </rPh>
    <rPh sb="35" eb="36">
      <t>イタダ</t>
    </rPh>
    <phoneticPr fontId="1"/>
  </si>
  <si>
    <t xml:space="preserve">花園区会計         </t>
    <rPh sb="0" eb="3">
      <t>ハナゾノク</t>
    </rPh>
    <rPh sb="3" eb="5">
      <t>カイケイ</t>
    </rPh>
    <phoneticPr fontId="1"/>
  </si>
  <si>
    <t>TEL 090-1488-4362</t>
    <phoneticPr fontId="1"/>
  </si>
  <si>
    <t>ご不明点、ご質問がございましたら、お気軽にお問い合わせください。
ご都合の良い日時がございましたら取りに行かせてもらいます。</t>
    <rPh sb="34" eb="36">
      <t>ツゴウ</t>
    </rPh>
    <rPh sb="37" eb="38">
      <t>ヨ</t>
    </rPh>
    <rPh sb="39" eb="41">
      <t>ニチジ</t>
    </rPh>
    <rPh sb="49" eb="50">
      <t>ト</t>
    </rPh>
    <rPh sb="52" eb="53">
      <t>イ</t>
    </rPh>
    <phoneticPr fontId="1"/>
  </si>
  <si>
    <t>徴収対象: 区協議費 前期分</t>
    <rPh sb="11" eb="14">
      <t>ゼンキブン</t>
    </rPh>
    <phoneticPr fontId="1"/>
  </si>
  <si>
    <t>大野雄子 様</t>
    <phoneticPr fontId="1"/>
  </si>
  <si>
    <t>件名 :  区協議費の徴収のお知らせ</t>
    <phoneticPr fontId="1"/>
  </si>
  <si>
    <t>米津  道彦</t>
    <rPh sb="0" eb="2">
      <t>ヨネツ</t>
    </rPh>
    <rPh sb="4" eb="6">
      <t>ミチヒコ</t>
    </rPh>
    <phoneticPr fontId="1"/>
  </si>
  <si>
    <t xml:space="preserve">  尚、持って来ていただけるなら、私の自宅は花園東口バス停の前の家です。
  黒い大きめの車が止まっていれば自宅におります。</t>
    <rPh sb="2" eb="3">
      <t>ナオ</t>
    </rPh>
    <rPh sb="4" eb="5">
      <t>モ</t>
    </rPh>
    <rPh sb="7" eb="8">
      <t>キ</t>
    </rPh>
    <rPh sb="17" eb="18">
      <t>ワタシ</t>
    </rPh>
    <rPh sb="19" eb="21">
      <t>ジタク</t>
    </rPh>
    <rPh sb="22" eb="24">
      <t>ハナゾノ</t>
    </rPh>
    <rPh sb="24" eb="26">
      <t>ヒガシグチ</t>
    </rPh>
    <rPh sb="28" eb="29">
      <t>テイ</t>
    </rPh>
    <rPh sb="30" eb="31">
      <t>マエ</t>
    </rPh>
    <rPh sb="32" eb="33">
      <t>イエ</t>
    </rPh>
    <rPh sb="39" eb="40">
      <t>クロ</t>
    </rPh>
    <rPh sb="41" eb="42">
      <t>オオ</t>
    </rPh>
    <rPh sb="45" eb="46">
      <t>クルマ</t>
    </rPh>
    <rPh sb="47" eb="48">
      <t>ト</t>
    </rPh>
    <rPh sb="54" eb="56">
      <t>ジタク</t>
    </rPh>
    <phoneticPr fontId="1"/>
  </si>
  <si>
    <t xml:space="preserve"> ヨネツ       ﾐﾁﾋｺ </t>
    <phoneticPr fontId="1"/>
  </si>
  <si>
    <t>大野様</t>
    <rPh sb="0" eb="3">
      <t>オオノサマ</t>
    </rPh>
    <phoneticPr fontId="1"/>
  </si>
  <si>
    <t>・日本赤十字会費</t>
    <rPh sb="1" eb="3">
      <t>ニホン</t>
    </rPh>
    <rPh sb="3" eb="6">
      <t>セキジュウジ</t>
    </rPh>
    <rPh sb="6" eb="8">
      <t>カイヒ</t>
    </rPh>
    <phoneticPr fontId="1"/>
  </si>
  <si>
    <t>・緑の羽根募金</t>
    <rPh sb="1" eb="2">
      <t>ミドリ</t>
    </rPh>
    <rPh sb="3" eb="5">
      <t>ハネ</t>
    </rPh>
    <rPh sb="5" eb="7">
      <t>ボキン</t>
    </rPh>
    <phoneticPr fontId="1"/>
  </si>
  <si>
    <t>・正法寺維持費（前期）</t>
    <rPh sb="1" eb="4">
      <t>ショウボウジ</t>
    </rPh>
    <rPh sb="4" eb="7">
      <t>イジヒ</t>
    </rPh>
    <rPh sb="8" eb="10">
      <t>ゼンキ</t>
    </rPh>
    <phoneticPr fontId="1"/>
  </si>
  <si>
    <t>組戸数</t>
    <rPh sb="0" eb="1">
      <t>クミ</t>
    </rPh>
    <rPh sb="1" eb="2">
      <t>コ</t>
    </rPh>
    <rPh sb="2" eb="3">
      <t>スウ</t>
    </rPh>
    <phoneticPr fontId="1"/>
  </si>
  <si>
    <t>寺戸数</t>
    <rPh sb="0" eb="1">
      <t>テラ</t>
    </rPh>
    <phoneticPr fontId="1"/>
  </si>
  <si>
    <t>神社戸数</t>
    <rPh sb="0" eb="2">
      <t>ジンジャ</t>
    </rPh>
    <rPh sb="2" eb="4">
      <t>コスウ</t>
    </rPh>
    <phoneticPr fontId="1"/>
  </si>
  <si>
    <t>・八坂神社維持費（前期）</t>
    <rPh sb="1" eb="8">
      <t>ヤサカジンジャイジヒ</t>
    </rPh>
    <rPh sb="9" eb="11">
      <t>ゼンキ</t>
    </rPh>
    <phoneticPr fontId="1"/>
  </si>
  <si>
    <t>愛宕宮火難除け祈願祭</t>
    <rPh sb="0" eb="3">
      <t>アタゴミヤ</t>
    </rPh>
    <rPh sb="3" eb="5">
      <t>カナン</t>
    </rPh>
    <rPh sb="5" eb="6">
      <t>ヨ</t>
    </rPh>
    <rPh sb="7" eb="9">
      <t>キガン</t>
    </rPh>
    <rPh sb="9" eb="10">
      <t>サイ</t>
    </rPh>
    <phoneticPr fontId="1"/>
  </si>
  <si>
    <t>・愛宕宮火難除け祈願祭</t>
    <rPh sb="4" eb="5">
      <t>ヒ</t>
    </rPh>
    <phoneticPr fontId="1"/>
  </si>
  <si>
    <t>2024.7.20</t>
    <phoneticPr fontId="1"/>
  </si>
  <si>
    <t>・社会福祉協議会費</t>
    <rPh sb="1" eb="5">
      <t>シャカイフクシ</t>
    </rPh>
    <rPh sb="5" eb="8">
      <t>キョウギカイ</t>
    </rPh>
    <rPh sb="8" eb="9">
      <t>ヒ</t>
    </rPh>
    <phoneticPr fontId="1"/>
  </si>
  <si>
    <t>今月の徴収明細は以下の通りです。</t>
    <rPh sb="0" eb="2">
      <t>コンゲツ</t>
    </rPh>
    <rPh sb="3" eb="5">
      <t>チョウシュウ</t>
    </rPh>
    <rPh sb="5" eb="7">
      <t>メイサイ</t>
    </rPh>
    <rPh sb="8" eb="10">
      <t>イカ</t>
    </rPh>
    <rPh sb="11" eb="12">
      <t>トオ</t>
    </rPh>
    <phoneticPr fontId="1"/>
  </si>
  <si>
    <t>７月２９日（月） １８：３０以降</t>
    <rPh sb="6" eb="7">
      <t>ゲツ</t>
    </rPh>
    <phoneticPr fontId="1"/>
  </si>
  <si>
    <t>2024.8.20</t>
    <phoneticPr fontId="1"/>
  </si>
  <si>
    <t>８月２６日（月） １８：３０以降</t>
    <rPh sb="6" eb="7">
      <t>ゲツ</t>
    </rPh>
    <phoneticPr fontId="1"/>
  </si>
  <si>
    <t>9月30日（月） １８：３０以降</t>
    <rPh sb="6" eb="7">
      <t>ゲツ</t>
    </rPh>
    <phoneticPr fontId="1"/>
  </si>
  <si>
    <t>2024.9.20</t>
    <phoneticPr fontId="1"/>
  </si>
  <si>
    <t>徴収対象: 区協議費 後期分</t>
    <rPh sb="11" eb="13">
      <t>コウキ</t>
    </rPh>
    <rPh sb="13" eb="14">
      <t>ブン</t>
    </rPh>
    <phoneticPr fontId="1"/>
  </si>
  <si>
    <t>・正法寺維持費（後期）</t>
    <rPh sb="1" eb="4">
      <t>ショウボウジ</t>
    </rPh>
    <rPh sb="4" eb="7">
      <t>イジヒ</t>
    </rPh>
    <rPh sb="8" eb="10">
      <t>コウキ</t>
    </rPh>
    <phoneticPr fontId="1"/>
  </si>
  <si>
    <t>・八阪神社維持費（後期）</t>
    <rPh sb="1" eb="3">
      <t>ヤサカ</t>
    </rPh>
    <rPh sb="3" eb="5">
      <t>ジンジャ</t>
    </rPh>
    <rPh sb="5" eb="8">
      <t>イジヒ</t>
    </rPh>
    <rPh sb="9" eb="11">
      <t>コウキ</t>
    </rPh>
    <phoneticPr fontId="1"/>
  </si>
  <si>
    <t>・赤い羽根共同募金</t>
    <rPh sb="1" eb="2">
      <t>アカ</t>
    </rPh>
    <rPh sb="3" eb="5">
      <t>ハネ</t>
    </rPh>
    <rPh sb="5" eb="9">
      <t>キョウドウボキン</t>
    </rPh>
    <phoneticPr fontId="1"/>
  </si>
  <si>
    <t>2024.10.20</t>
    <phoneticPr fontId="1"/>
  </si>
  <si>
    <t>10月28日（月） １８：３０以降</t>
    <rPh sb="7" eb="8">
      <t>ゲツ</t>
    </rPh>
    <phoneticPr fontId="1"/>
  </si>
  <si>
    <t>2024.11.20</t>
    <phoneticPr fontId="1"/>
  </si>
  <si>
    <t>・歳末たすけあい運動</t>
    <rPh sb="1" eb="3">
      <t>サイマツ</t>
    </rPh>
    <rPh sb="8" eb="10">
      <t>ウンドウ</t>
    </rPh>
    <phoneticPr fontId="1"/>
  </si>
  <si>
    <t>１１月２８日（木） １８：３０以降</t>
    <rPh sb="7" eb="8">
      <t>モク</t>
    </rPh>
    <phoneticPr fontId="1"/>
  </si>
  <si>
    <t>2024.12.20</t>
    <phoneticPr fontId="1"/>
  </si>
  <si>
    <t>・山年貢</t>
    <rPh sb="1" eb="4">
      <t>ヤマネング</t>
    </rPh>
    <phoneticPr fontId="1"/>
  </si>
  <si>
    <t>・水利費</t>
    <rPh sb="1" eb="4">
      <t>スイリヒ</t>
    </rPh>
    <phoneticPr fontId="1"/>
  </si>
  <si>
    <t>１２月２６日（木） １８：３０以降</t>
    <rPh sb="7" eb="8">
      <t>モク</t>
    </rPh>
    <phoneticPr fontId="1"/>
  </si>
  <si>
    <t>1000
500</t>
    <phoneticPr fontId="1"/>
  </si>
  <si>
    <t>9
4</t>
    <phoneticPr fontId="1"/>
  </si>
  <si>
    <t>円／
円／</t>
    <phoneticPr fontId="1"/>
  </si>
  <si>
    <t>戸
戸</t>
    <rPh sb="0" eb="1">
      <t>コ</t>
    </rPh>
    <rPh sb="2" eb="3">
      <t>コ</t>
    </rPh>
    <phoneticPr fontId="1"/>
  </si>
  <si>
    <t>2025.1.20</t>
    <phoneticPr fontId="1"/>
  </si>
  <si>
    <t>１月３０日（木） １８：３０以降</t>
    <rPh sb="6" eb="7">
      <t>モク</t>
    </rPh>
    <phoneticPr fontId="1"/>
  </si>
  <si>
    <t>2025年度</t>
    <rPh sb="4" eb="6">
      <t>ネンド</t>
    </rPh>
    <phoneticPr fontId="1"/>
  </si>
  <si>
    <t>2025.4.20</t>
    <phoneticPr fontId="1"/>
  </si>
  <si>
    <t>５月１日（木） １８：３０以降</t>
    <rPh sb="5" eb="6">
      <t>モク</t>
    </rPh>
    <phoneticPr fontId="1"/>
  </si>
  <si>
    <t>2025.5.20</t>
    <phoneticPr fontId="1"/>
  </si>
  <si>
    <t>５月２９日（木） １８：３０以降</t>
    <rPh sb="6" eb="7">
      <t>モク</t>
    </rPh>
    <phoneticPr fontId="1"/>
  </si>
  <si>
    <t>中島 　道代</t>
    <phoneticPr fontId="1"/>
  </si>
  <si>
    <t>1組</t>
    <phoneticPr fontId="1"/>
  </si>
  <si>
    <t>2025.6.20</t>
    <phoneticPr fontId="1"/>
  </si>
  <si>
    <t>７月３日（木） １８：３０以降</t>
    <rPh sb="5" eb="6">
      <t>モク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</si>
</sst>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5" formatCode="&quot;¥&quot;#,##0;&quot;¥&quot;\-#,##0"/>
    <numFmt numFmtId="176" formatCode="&quot;¥&quot;#,##0_);[Red]\(&quot;¥&quot;#,##0\)"/>
    <numFmt numFmtId="177" formatCode="#,##0_);[Red]\(#,##0\)"/>
  </numFmts>
  <fonts count="2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rgb="FFFF0000"/>
      <name val="BIZ UDPゴシック"/>
      <family val="3"/>
      <charset val="128"/>
    </font>
    <font>
      <b/>
      <sz val="18"/>
      <color rgb="FF002060"/>
      <name val="Meiryo UI"/>
      <family val="3"/>
      <charset val="128"/>
    </font>
    <font>
      <sz val="6"/>
      <name val="ＭＳ Ｐゴシック"/>
      <family val="3"/>
      <charset val="128"/>
    </font>
    <font>
      <sz val="12"/>
      <name val="Meiryo UI"/>
      <family val="3"/>
      <charset val="128"/>
    </font>
    <font>
      <sz val="9"/>
      <name val="Meiryo UI"/>
      <family val="3"/>
      <charset val="128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6"/>
      <name val="HGPｺﾞｼｯｸM"/>
      <family val="3"/>
      <charset val="128"/>
    </font>
    <font>
      <sz val="16"/>
      <color theme="1"/>
      <name val="メイリオ"/>
      <family val="3"/>
      <charset val="128"/>
    </font>
    <font>
      <sz val="12"/>
      <color theme="1"/>
      <name val="メイリオ"/>
      <family val="3"/>
      <charset val="128"/>
    </font>
    <font>
      <sz val="16"/>
      <color rgb="FFFF0000"/>
      <name val="メイリオ"/>
      <family val="3"/>
      <charset val="128"/>
    </font>
    <font>
      <b/>
      <sz val="24"/>
      <color theme="1"/>
      <name val="メイリオ"/>
      <family val="3"/>
      <charset val="128"/>
    </font>
    <font>
      <sz val="14"/>
      <color theme="4"/>
      <name val="メイリオ"/>
      <family val="3"/>
      <charset val="128"/>
    </font>
    <font>
      <b/>
      <sz val="18"/>
      <color theme="1"/>
      <name val="メイリオ"/>
      <family val="3"/>
      <charset val="128"/>
    </font>
    <font>
      <sz val="8"/>
      <color theme="1"/>
      <name val="Segoe UI"/>
      <family val="2"/>
    </font>
    <font>
      <sz val="16"/>
      <color theme="1"/>
      <name val="Meiryo UI"/>
      <family val="3"/>
      <charset val="128"/>
    </font>
    <font>
      <sz val="18"/>
      <color theme="1"/>
      <name val="Meiryo UI"/>
      <family val="3"/>
      <charset val="128"/>
    </font>
    <font>
      <sz val="12"/>
      <color theme="1"/>
      <name val="ＭＳ Ｐゴシック"/>
      <family val="3"/>
      <charset val="128"/>
    </font>
    <font>
      <vertAlign val="subscript"/>
      <sz val="14"/>
      <color theme="1"/>
      <name val="Meiryo UI"/>
      <family val="3"/>
      <charset val="128"/>
    </font>
    <font>
      <sz val="14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12" fillId="0" borderId="0" applyFont="0" applyFill="0" applyBorder="0" applyAlignment="0" applyProtection="0">
      <alignment vertical="center"/>
    </xf>
  </cellStyleXfs>
  <cellXfs count="117">
    <xf numFmtId="0" fontId="0" fillId="0" borderId="0" xfId="0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9" fillId="0" borderId="18" xfId="0" applyFont="1" applyBorder="1" applyAlignment="1">
      <alignment horizontal="center" vertical="center"/>
    </xf>
    <xf numFmtId="0" fontId="2" fillId="0" borderId="19" xfId="0" applyFont="1" applyBorder="1">
      <alignment vertical="center"/>
    </xf>
    <xf numFmtId="0" fontId="9" fillId="0" borderId="16" xfId="0" applyFont="1" applyBorder="1" applyAlignment="1">
      <alignment horizontal="center" vertical="center"/>
    </xf>
    <xf numFmtId="0" fontId="2" fillId="0" borderId="20" xfId="0" applyFont="1" applyBorder="1">
      <alignment vertical="center"/>
    </xf>
    <xf numFmtId="0" fontId="9" fillId="0" borderId="17" xfId="0" applyFont="1" applyBorder="1" applyAlignment="1">
      <alignment horizontal="center" vertical="center"/>
    </xf>
    <xf numFmtId="0" fontId="2" fillId="0" borderId="23" xfId="0" applyFont="1" applyBorder="1">
      <alignment vertical="center"/>
    </xf>
    <xf numFmtId="0" fontId="9" fillId="0" borderId="21" xfId="0" applyFont="1" applyBorder="1" applyAlignment="1">
      <alignment horizontal="center" vertical="center"/>
    </xf>
    <xf numFmtId="0" fontId="2" fillId="0" borderId="22" xfId="0" applyFont="1" applyBorder="1">
      <alignment vertical="center"/>
    </xf>
    <xf numFmtId="0" fontId="2" fillId="0" borderId="14" xfId="0" applyFont="1" applyBorder="1">
      <alignment vertical="center"/>
    </xf>
    <xf numFmtId="0" fontId="2" fillId="0" borderId="28" xfId="0" applyFont="1" applyBorder="1">
      <alignment vertical="center"/>
    </xf>
    <xf numFmtId="5" fontId="2" fillId="0" borderId="24" xfId="0" applyNumberFormat="1" applyFont="1" applyBorder="1">
      <alignment vertical="center"/>
    </xf>
    <xf numFmtId="5" fontId="2" fillId="0" borderId="1" xfId="0" applyNumberFormat="1" applyFont="1" applyBorder="1">
      <alignment vertical="center"/>
    </xf>
    <xf numFmtId="5" fontId="2" fillId="0" borderId="26" xfId="0" applyNumberFormat="1" applyFont="1" applyBorder="1">
      <alignment vertical="center"/>
    </xf>
    <xf numFmtId="0" fontId="2" fillId="0" borderId="33" xfId="0" applyFont="1" applyBorder="1">
      <alignment vertical="center"/>
    </xf>
    <xf numFmtId="5" fontId="2" fillId="0" borderId="34" xfId="0" applyNumberFormat="1" applyFont="1" applyBorder="1">
      <alignment vertical="center"/>
    </xf>
    <xf numFmtId="5" fontId="2" fillId="0" borderId="35" xfId="0" applyNumberFormat="1" applyFont="1" applyBorder="1">
      <alignment vertical="center"/>
    </xf>
    <xf numFmtId="5" fontId="2" fillId="0" borderId="36" xfId="0" applyNumberFormat="1" applyFont="1" applyBorder="1">
      <alignment vertical="center"/>
    </xf>
    <xf numFmtId="0" fontId="2" fillId="0" borderId="37" xfId="0" applyFont="1" applyBorder="1">
      <alignment vertical="center"/>
    </xf>
    <xf numFmtId="5" fontId="2" fillId="0" borderId="38" xfId="0" applyNumberFormat="1" applyFont="1" applyBorder="1">
      <alignment vertical="center"/>
    </xf>
    <xf numFmtId="0" fontId="2" fillId="0" borderId="39" xfId="0" applyFont="1" applyBorder="1">
      <alignment vertical="center"/>
    </xf>
    <xf numFmtId="5" fontId="2" fillId="0" borderId="40" xfId="0" applyNumberFormat="1" applyFont="1" applyBorder="1">
      <alignment vertical="center"/>
    </xf>
    <xf numFmtId="5" fontId="2" fillId="0" borderId="41" xfId="0" applyNumberFormat="1" applyFont="1" applyBorder="1">
      <alignment vertical="center"/>
    </xf>
    <xf numFmtId="5" fontId="2" fillId="0" borderId="42" xfId="0" applyNumberFormat="1" applyFont="1" applyBorder="1">
      <alignment vertical="center"/>
    </xf>
    <xf numFmtId="0" fontId="2" fillId="0" borderId="43" xfId="0" applyFont="1" applyBorder="1">
      <alignment vertical="center"/>
    </xf>
    <xf numFmtId="5" fontId="2" fillId="0" borderId="44" xfId="0" applyNumberFormat="1" applyFont="1" applyBorder="1">
      <alignment vertical="center"/>
    </xf>
    <xf numFmtId="5" fontId="2" fillId="0" borderId="45" xfId="0" applyNumberFormat="1" applyFont="1" applyBorder="1">
      <alignment vertical="center"/>
    </xf>
    <xf numFmtId="0" fontId="2" fillId="0" borderId="46" xfId="0" applyFont="1" applyBorder="1">
      <alignment vertical="center"/>
    </xf>
    <xf numFmtId="0" fontId="2" fillId="0" borderId="47" xfId="0" applyFont="1" applyBorder="1">
      <alignment vertical="center"/>
    </xf>
    <xf numFmtId="0" fontId="2" fillId="0" borderId="31" xfId="0" applyFont="1" applyBorder="1">
      <alignment vertical="center"/>
    </xf>
    <xf numFmtId="0" fontId="2" fillId="0" borderId="48" xfId="0" applyFont="1" applyBorder="1">
      <alignment vertical="center"/>
    </xf>
    <xf numFmtId="5" fontId="2" fillId="0" borderId="49" xfId="0" applyNumberFormat="1" applyFont="1" applyBorder="1">
      <alignment vertical="center"/>
    </xf>
    <xf numFmtId="5" fontId="2" fillId="0" borderId="50" xfId="0" applyNumberFormat="1" applyFont="1" applyBorder="1">
      <alignment vertical="center"/>
    </xf>
    <xf numFmtId="5" fontId="2" fillId="0" borderId="32" xfId="0" applyNumberFormat="1" applyFont="1" applyBorder="1">
      <alignment vertical="center"/>
    </xf>
    <xf numFmtId="5" fontId="2" fillId="0" borderId="52" xfId="0" applyNumberFormat="1" applyFont="1" applyBorder="1">
      <alignment vertical="center"/>
    </xf>
    <xf numFmtId="5" fontId="2" fillId="0" borderId="53" xfId="0" applyNumberFormat="1" applyFont="1" applyBorder="1">
      <alignment vertical="center"/>
    </xf>
    <xf numFmtId="5" fontId="2" fillId="0" borderId="54" xfId="0" applyNumberFormat="1" applyFont="1" applyBorder="1">
      <alignment vertical="center"/>
    </xf>
    <xf numFmtId="0" fontId="2" fillId="0" borderId="51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13" fillId="0" borderId="0" xfId="0" applyFont="1">
      <alignment vertical="center"/>
    </xf>
    <xf numFmtId="0" fontId="13" fillId="0" borderId="1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176" fontId="13" fillId="0" borderId="1" xfId="0" applyNumberFormat="1" applyFont="1" applyBorder="1">
      <alignment vertical="center"/>
    </xf>
    <xf numFmtId="176" fontId="13" fillId="0" borderId="25" xfId="1" applyNumberFormat="1" applyFont="1" applyBorder="1">
      <alignment vertical="center"/>
    </xf>
    <xf numFmtId="38" fontId="13" fillId="0" borderId="0" xfId="1" applyFont="1">
      <alignment vertical="center"/>
    </xf>
    <xf numFmtId="0" fontId="13" fillId="0" borderId="30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38" fontId="13" fillId="0" borderId="0" xfId="1" applyFont="1" applyBorder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177" fontId="14" fillId="0" borderId="0" xfId="0" applyNumberFormat="1" applyFont="1">
      <alignment vertical="center"/>
    </xf>
    <xf numFmtId="0" fontId="16" fillId="0" borderId="0" xfId="0" applyFont="1">
      <alignment vertical="center"/>
    </xf>
    <xf numFmtId="0" fontId="15" fillId="0" borderId="52" xfId="0" applyFont="1" applyBorder="1" applyAlignment="1">
      <alignment horizontal="center" vertical="center"/>
    </xf>
    <xf numFmtId="0" fontId="14" fillId="0" borderId="54" xfId="0" applyFont="1" applyBorder="1">
      <alignment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0" applyFont="1">
      <alignment vertical="center"/>
    </xf>
    <xf numFmtId="0" fontId="20" fillId="0" borderId="0" xfId="0" applyFont="1" applyAlignment="1">
      <alignment horizontal="left" vertical="center" wrapText="1"/>
    </xf>
    <xf numFmtId="0" fontId="20" fillId="0" borderId="0" xfId="0" applyFont="1" applyAlignment="1">
      <alignment horizontal="left" vertical="center" wrapText="1" indent="1"/>
    </xf>
    <xf numFmtId="0" fontId="20" fillId="0" borderId="0" xfId="0" applyFont="1" applyAlignment="1">
      <alignment horizontal="left" vertical="center" wrapText="1" indent="2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 wrapText="1" indent="2"/>
    </xf>
    <xf numFmtId="0" fontId="21" fillId="0" borderId="0" xfId="0" applyFont="1" applyAlignment="1">
      <alignment horizontal="left" vertical="center" wrapText="1"/>
    </xf>
    <xf numFmtId="0" fontId="21" fillId="0" borderId="0" xfId="0" applyFont="1" applyAlignment="1">
      <alignment horizontal="left" vertical="center" wrapText="1" indent="1"/>
    </xf>
    <xf numFmtId="0" fontId="22" fillId="0" borderId="0" xfId="0" applyFont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3" fillId="0" borderId="0" xfId="0" applyFont="1" applyAlignment="1">
      <alignment horizontal="right" vertical="top" wrapText="1" indent="2"/>
    </xf>
    <xf numFmtId="0" fontId="24" fillId="0" borderId="0" xfId="0" applyFont="1" applyAlignment="1">
      <alignment horizontal="right" wrapText="1" indent="2"/>
    </xf>
    <xf numFmtId="0" fontId="2" fillId="0" borderId="18" xfId="0" applyFont="1" applyBorder="1">
      <alignment vertical="center"/>
    </xf>
    <xf numFmtId="0" fontId="2" fillId="0" borderId="55" xfId="0" applyFont="1" applyBorder="1">
      <alignment vertical="center"/>
    </xf>
    <xf numFmtId="5" fontId="2" fillId="0" borderId="56" xfId="0" applyNumberFormat="1" applyFont="1" applyBorder="1">
      <alignment vertical="center"/>
    </xf>
    <xf numFmtId="0" fontId="2" fillId="0" borderId="57" xfId="0" applyFont="1" applyBorder="1">
      <alignment vertical="center"/>
    </xf>
    <xf numFmtId="5" fontId="2" fillId="0" borderId="58" xfId="0" applyNumberFormat="1" applyFont="1" applyBorder="1">
      <alignment vertical="center"/>
    </xf>
    <xf numFmtId="0" fontId="25" fillId="0" borderId="0" xfId="0" applyFont="1" applyAlignment="1">
      <alignment horizontal="left" vertical="center"/>
    </xf>
    <xf numFmtId="0" fontId="25" fillId="0" borderId="0" xfId="0" applyFont="1">
      <alignment vertical="center"/>
    </xf>
    <xf numFmtId="0" fontId="2" fillId="0" borderId="27" xfId="0" applyFont="1" applyBorder="1">
      <alignment vertical="center"/>
    </xf>
    <xf numFmtId="5" fontId="2" fillId="0" borderId="27" xfId="0" applyNumberFormat="1" applyFont="1" applyBorder="1">
      <alignment vertical="center"/>
    </xf>
    <xf numFmtId="5" fontId="2" fillId="0" borderId="55" xfId="0" applyNumberFormat="1" applyFont="1" applyBorder="1">
      <alignment vertical="center"/>
    </xf>
    <xf numFmtId="5" fontId="2" fillId="0" borderId="59" xfId="0" applyNumberFormat="1" applyFont="1" applyBorder="1">
      <alignment vertical="center"/>
    </xf>
    <xf numFmtId="5" fontId="2" fillId="0" borderId="19" xfId="0" applyNumberFormat="1" applyFont="1" applyBorder="1">
      <alignment vertical="center"/>
    </xf>
    <xf numFmtId="5" fontId="2" fillId="0" borderId="20" xfId="0" applyNumberFormat="1" applyFont="1" applyBorder="1">
      <alignment vertical="center"/>
    </xf>
    <xf numFmtId="5" fontId="2" fillId="0" borderId="22" xfId="0" applyNumberFormat="1" applyFont="1" applyBorder="1">
      <alignment vertical="center"/>
    </xf>
    <xf numFmtId="5" fontId="2" fillId="0" borderId="0" xfId="0" applyNumberFormat="1" applyFont="1">
      <alignment vertical="center"/>
    </xf>
    <xf numFmtId="0" fontId="25" fillId="0" borderId="0" xfId="0" applyFont="1" applyAlignment="1">
      <alignment vertical="center" wrapText="1"/>
    </xf>
    <xf numFmtId="0" fontId="25" fillId="0" borderId="0" xfId="0" applyFont="1" applyAlignment="1">
      <alignment horizontal="right"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microsoft.com/office/2017/10/relationships/person" Target="persons/person6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17/10/relationships/person" Target="persons/person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29" Type="http://schemas.microsoft.com/office/2017/10/relationships/person" Target="persons/pers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28" Type="http://schemas.microsoft.com/office/2017/10/relationships/person" Target="persons/person4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7" Type="http://schemas.microsoft.com/office/2017/10/relationships/person" Target="persons/person5.xml"/><Relationship Id="rId22" Type="http://schemas.microsoft.com/office/2017/10/relationships/person" Target="persons/person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350520</xdr:colOff>
          <xdr:row>3</xdr:row>
          <xdr:rowOff>15240</xdr:rowOff>
        </xdr:from>
        <xdr:to>
          <xdr:col>5</xdr:col>
          <xdr:colOff>464820</xdr:colOff>
          <xdr:row>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1376141</xdr:colOff>
      <xdr:row>17</xdr:row>
      <xdr:rowOff>216460</xdr:rowOff>
    </xdr:from>
    <xdr:to>
      <xdr:col>1</xdr:col>
      <xdr:colOff>3984385</xdr:colOff>
      <xdr:row>29</xdr:row>
      <xdr:rowOff>168338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6423" y="6115236"/>
          <a:ext cx="2608244" cy="2766796"/>
        </a:xfrm>
        <a:prstGeom prst="rect">
          <a:avLst/>
        </a:prstGeom>
      </xdr:spPr>
    </xdr:pic>
    <xdr:clientData/>
  </xdr:twoCellAnchor>
  <xdr:twoCellAnchor>
    <xdr:from>
      <xdr:col>1</xdr:col>
      <xdr:colOff>3157525</xdr:colOff>
      <xdr:row>26</xdr:row>
      <xdr:rowOff>158247</xdr:rowOff>
    </xdr:from>
    <xdr:to>
      <xdr:col>1</xdr:col>
      <xdr:colOff>3455699</xdr:colOff>
      <xdr:row>27</xdr:row>
      <xdr:rowOff>185921</xdr:rowOff>
    </xdr:to>
    <xdr:sp macro="" textlink="">
      <xdr:nvSpPr>
        <xdr:cNvPr id="3" name="楕円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847807" y="8172694"/>
          <a:ext cx="298174" cy="260756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1</xdr:col>
      <xdr:colOff>3345180</xdr:colOff>
      <xdr:row>23</xdr:row>
      <xdr:rowOff>198120</xdr:rowOff>
    </xdr:from>
    <xdr:ext cx="1325880" cy="306879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4038600" y="7490460"/>
          <a:ext cx="1325880" cy="30687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1000"/>
            <a:t>ふれあいセンター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1376141</xdr:colOff>
      <xdr:row>17</xdr:row>
      <xdr:rowOff>216460</xdr:rowOff>
    </xdr:from>
    <xdr:to>
      <xdr:col>1</xdr:col>
      <xdr:colOff>3984385</xdr:colOff>
      <xdr:row>29</xdr:row>
      <xdr:rowOff>168338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E8BC3F9-16FD-4F8A-9BB2-98D26E308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9561" y="6114340"/>
          <a:ext cx="2608244" cy="2717938"/>
        </a:xfrm>
        <a:prstGeom prst="rect">
          <a:avLst/>
        </a:prstGeom>
      </xdr:spPr>
    </xdr:pic>
    <xdr:clientData/>
  </xdr:twoCellAnchor>
  <xdr:twoCellAnchor>
    <xdr:from>
      <xdr:col>1</xdr:col>
      <xdr:colOff>3157525</xdr:colOff>
      <xdr:row>26</xdr:row>
      <xdr:rowOff>158247</xdr:rowOff>
    </xdr:from>
    <xdr:to>
      <xdr:col>1</xdr:col>
      <xdr:colOff>3455699</xdr:colOff>
      <xdr:row>27</xdr:row>
      <xdr:rowOff>185921</xdr:rowOff>
    </xdr:to>
    <xdr:sp macro="" textlink="">
      <xdr:nvSpPr>
        <xdr:cNvPr id="3" name="楕円 2">
          <a:extLst>
            <a:ext uri="{FF2B5EF4-FFF2-40B4-BE49-F238E27FC236}">
              <a16:creationId xmlns:a16="http://schemas.microsoft.com/office/drawing/2014/main" id="{0FE9D9F8-EBE0-4050-AAD8-873249114B62}"/>
            </a:ext>
          </a:extLst>
        </xdr:cNvPr>
        <xdr:cNvSpPr/>
      </xdr:nvSpPr>
      <xdr:spPr>
        <a:xfrm>
          <a:off x="3850945" y="8136387"/>
          <a:ext cx="298174" cy="256274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1</xdr:col>
      <xdr:colOff>3345180</xdr:colOff>
      <xdr:row>23</xdr:row>
      <xdr:rowOff>198120</xdr:rowOff>
    </xdr:from>
    <xdr:ext cx="1325880" cy="306879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C78558E3-5CB4-47EE-9374-DECB453FA111}"/>
            </a:ext>
          </a:extLst>
        </xdr:cNvPr>
        <xdr:cNvSpPr txBox="1"/>
      </xdr:nvSpPr>
      <xdr:spPr>
        <a:xfrm>
          <a:off x="4038600" y="7490460"/>
          <a:ext cx="1325880" cy="30687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1000"/>
            <a:t>ふれあいセンター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BD7EB-7BD6-4340-B1D8-E517D012360E}">
  <sheetPr codeName="Sheet1"/>
  <dimension ref="B1:H55"/>
  <sheetViews>
    <sheetView workbookViewId="0">
      <selection activeCell="J23" sqref="J23"/>
    </sheetView>
  </sheetViews>
  <sheetFormatPr defaultRowHeight="15" x14ac:dyDescent="0.45"/>
  <cols>
    <col min="1" max="1" width="3.5" style="23" customWidth="1"/>
    <col min="2" max="2" width="4.296875" style="23" customWidth="1"/>
    <col min="3" max="3" width="11.59765625" style="23" bestFit="1" customWidth="1"/>
    <col min="4" max="16384" width="8.796875" style="23"/>
  </cols>
  <sheetData>
    <row r="1" spans="2:8" x14ac:dyDescent="0.45">
      <c r="C1" s="23" t="s">
        <v>182</v>
      </c>
    </row>
    <row r="2" spans="2:8" ht="15.6" thickBot="1" x14ac:dyDescent="0.5">
      <c r="C2" s="23" t="s">
        <v>1</v>
      </c>
      <c r="D2" s="23" t="s">
        <v>0</v>
      </c>
    </row>
    <row r="3" spans="2:8" ht="16.2" x14ac:dyDescent="0.45">
      <c r="B3" s="23">
        <v>1</v>
      </c>
      <c r="C3" s="24" t="s">
        <v>22</v>
      </c>
      <c r="D3" s="25" t="s">
        <v>36</v>
      </c>
    </row>
    <row r="4" spans="2:8" ht="16.2" x14ac:dyDescent="0.45">
      <c r="B4" s="23">
        <v>2</v>
      </c>
      <c r="C4" s="26" t="s">
        <v>23</v>
      </c>
      <c r="D4" s="27" t="s">
        <v>36</v>
      </c>
      <c r="G4" s="23" t="s">
        <v>78</v>
      </c>
      <c r="H4" s="23">
        <v>7</v>
      </c>
    </row>
    <row r="5" spans="2:8" ht="16.2" x14ac:dyDescent="0.45">
      <c r="B5" s="23">
        <v>3</v>
      </c>
      <c r="C5" s="26" t="s">
        <v>24</v>
      </c>
      <c r="D5" s="27" t="s">
        <v>36</v>
      </c>
      <c r="G5" s="23" t="s">
        <v>79</v>
      </c>
      <c r="H5" s="23">
        <v>7</v>
      </c>
    </row>
    <row r="6" spans="2:8" ht="16.2" x14ac:dyDescent="0.45">
      <c r="B6" s="23">
        <v>4</v>
      </c>
      <c r="C6" s="26" t="s">
        <v>25</v>
      </c>
      <c r="D6" s="27" t="s">
        <v>36</v>
      </c>
    </row>
    <row r="7" spans="2:8" ht="16.2" x14ac:dyDescent="0.45">
      <c r="B7" s="23">
        <v>5</v>
      </c>
      <c r="C7" s="26" t="s">
        <v>26</v>
      </c>
      <c r="D7" s="27" t="s">
        <v>36</v>
      </c>
    </row>
    <row r="8" spans="2:8" ht="16.2" x14ac:dyDescent="0.45">
      <c r="B8" s="23">
        <v>6</v>
      </c>
      <c r="C8" s="26" t="s">
        <v>27</v>
      </c>
      <c r="D8" s="27" t="s">
        <v>36</v>
      </c>
    </row>
    <row r="9" spans="2:8" ht="16.2" x14ac:dyDescent="0.45">
      <c r="B9" s="23">
        <v>7</v>
      </c>
      <c r="C9" s="26" t="s">
        <v>28</v>
      </c>
      <c r="D9" s="27" t="s">
        <v>36</v>
      </c>
    </row>
    <row r="10" spans="2:8" ht="16.2" x14ac:dyDescent="0.45">
      <c r="B10" s="23">
        <v>8</v>
      </c>
      <c r="C10" s="26" t="s">
        <v>29</v>
      </c>
      <c r="D10" s="27" t="s">
        <v>36</v>
      </c>
    </row>
    <row r="11" spans="2:8" ht="16.2" x14ac:dyDescent="0.45">
      <c r="B11" s="23">
        <v>9</v>
      </c>
      <c r="C11" s="26" t="s">
        <v>30</v>
      </c>
      <c r="D11" s="27" t="s">
        <v>36</v>
      </c>
    </row>
    <row r="12" spans="2:8" ht="16.2" x14ac:dyDescent="0.45">
      <c r="B12" s="23">
        <v>10</v>
      </c>
      <c r="C12" s="26" t="s">
        <v>31</v>
      </c>
      <c r="D12" s="27" t="s">
        <v>36</v>
      </c>
    </row>
    <row r="13" spans="2:8" ht="16.2" x14ac:dyDescent="0.45">
      <c r="B13" s="23">
        <v>11</v>
      </c>
      <c r="C13" s="26" t="s">
        <v>32</v>
      </c>
      <c r="D13" s="27" t="s">
        <v>36</v>
      </c>
    </row>
    <row r="14" spans="2:8" ht="16.2" x14ac:dyDescent="0.45">
      <c r="B14" s="23">
        <v>12</v>
      </c>
      <c r="C14" s="26" t="s">
        <v>33</v>
      </c>
      <c r="D14" s="27" t="s">
        <v>36</v>
      </c>
    </row>
    <row r="15" spans="2:8" ht="16.2" x14ac:dyDescent="0.45">
      <c r="B15" s="23">
        <v>13</v>
      </c>
      <c r="C15" s="26" t="s">
        <v>34</v>
      </c>
      <c r="D15" s="27" t="s">
        <v>36</v>
      </c>
    </row>
    <row r="16" spans="2:8" ht="16.8" thickBot="1" x14ac:dyDescent="0.5">
      <c r="B16" s="23">
        <v>14</v>
      </c>
      <c r="C16" s="28" t="s">
        <v>35</v>
      </c>
      <c r="D16" s="29" t="s">
        <v>36</v>
      </c>
      <c r="E16" s="23">
        <f>COUNTA(C3:C16)</f>
        <v>14</v>
      </c>
    </row>
    <row r="17" spans="2:5" ht="16.2" x14ac:dyDescent="0.45">
      <c r="B17" s="23">
        <v>15</v>
      </c>
      <c r="C17" s="24" t="s">
        <v>37</v>
      </c>
      <c r="D17" s="25" t="s">
        <v>15</v>
      </c>
    </row>
    <row r="18" spans="2:5" ht="16.2" x14ac:dyDescent="0.45">
      <c r="B18" s="23">
        <v>16</v>
      </c>
      <c r="C18" s="26" t="s">
        <v>38</v>
      </c>
      <c r="D18" s="27" t="s">
        <v>15</v>
      </c>
    </row>
    <row r="19" spans="2:5" ht="16.2" x14ac:dyDescent="0.45">
      <c r="B19" s="23">
        <v>17</v>
      </c>
      <c r="C19" s="26" t="s">
        <v>39</v>
      </c>
      <c r="D19" s="27" t="s">
        <v>15</v>
      </c>
    </row>
    <row r="20" spans="2:5" ht="16.2" x14ac:dyDescent="0.45">
      <c r="B20" s="23">
        <v>18</v>
      </c>
      <c r="C20" s="26" t="s">
        <v>40</v>
      </c>
      <c r="D20" s="27" t="s">
        <v>15</v>
      </c>
    </row>
    <row r="21" spans="2:5" ht="16.2" x14ac:dyDescent="0.45">
      <c r="B21" s="23">
        <v>19</v>
      </c>
      <c r="C21" s="26" t="s">
        <v>41</v>
      </c>
      <c r="D21" s="27" t="s">
        <v>15</v>
      </c>
    </row>
    <row r="22" spans="2:5" ht="16.2" x14ac:dyDescent="0.45">
      <c r="B22" s="23">
        <v>20</v>
      </c>
      <c r="C22" s="26" t="s">
        <v>42</v>
      </c>
      <c r="D22" s="27" t="s">
        <v>15</v>
      </c>
    </row>
    <row r="23" spans="2:5" ht="16.2" x14ac:dyDescent="0.45">
      <c r="B23" s="23">
        <v>21</v>
      </c>
      <c r="C23" s="26" t="s">
        <v>43</v>
      </c>
      <c r="D23" s="27" t="s">
        <v>15</v>
      </c>
    </row>
    <row r="24" spans="2:5" ht="16.2" x14ac:dyDescent="0.45">
      <c r="B24" s="23">
        <v>22</v>
      </c>
      <c r="C24" s="26" t="s">
        <v>44</v>
      </c>
      <c r="D24" s="27" t="s">
        <v>15</v>
      </c>
    </row>
    <row r="25" spans="2:5" ht="16.2" x14ac:dyDescent="0.45">
      <c r="B25" s="23">
        <v>23</v>
      </c>
      <c r="C25" s="26" t="s">
        <v>45</v>
      </c>
      <c r="D25" s="27" t="s">
        <v>15</v>
      </c>
    </row>
    <row r="26" spans="2:5" ht="16.2" x14ac:dyDescent="0.45">
      <c r="B26" s="23">
        <v>24</v>
      </c>
      <c r="C26" s="26" t="s">
        <v>46</v>
      </c>
      <c r="D26" s="27" t="s">
        <v>15</v>
      </c>
    </row>
    <row r="27" spans="2:5" ht="16.8" thickBot="1" x14ac:dyDescent="0.5">
      <c r="B27" s="23">
        <v>25</v>
      </c>
      <c r="C27" s="28" t="s">
        <v>47</v>
      </c>
      <c r="D27" s="29" t="s">
        <v>15</v>
      </c>
      <c r="E27" s="23">
        <f>COUNTA(C17:C27)</f>
        <v>11</v>
      </c>
    </row>
    <row r="28" spans="2:5" ht="16.2" x14ac:dyDescent="0.45">
      <c r="B28" s="23">
        <v>26</v>
      </c>
      <c r="C28" s="24" t="s">
        <v>48</v>
      </c>
      <c r="D28" s="25" t="s">
        <v>64</v>
      </c>
    </row>
    <row r="29" spans="2:5" ht="16.2" x14ac:dyDescent="0.45">
      <c r="B29" s="23">
        <v>27</v>
      </c>
      <c r="C29" s="26" t="s">
        <v>49</v>
      </c>
      <c r="D29" s="27" t="s">
        <v>64</v>
      </c>
    </row>
    <row r="30" spans="2:5" ht="16.2" x14ac:dyDescent="0.45">
      <c r="B30" s="23">
        <v>28</v>
      </c>
      <c r="C30" s="26" t="s">
        <v>50</v>
      </c>
      <c r="D30" s="27" t="s">
        <v>64</v>
      </c>
    </row>
    <row r="31" spans="2:5" ht="16.2" x14ac:dyDescent="0.45">
      <c r="B31" s="23">
        <v>29</v>
      </c>
      <c r="C31" s="26" t="s">
        <v>51</v>
      </c>
      <c r="D31" s="27" t="s">
        <v>64</v>
      </c>
    </row>
    <row r="32" spans="2:5" ht="16.2" x14ac:dyDescent="0.45">
      <c r="B32" s="23">
        <v>30</v>
      </c>
      <c r="C32" s="26" t="s">
        <v>52</v>
      </c>
      <c r="D32" s="27" t="s">
        <v>64</v>
      </c>
    </row>
    <row r="33" spans="2:5" ht="16.2" x14ac:dyDescent="0.45">
      <c r="B33" s="23">
        <v>31</v>
      </c>
      <c r="C33" s="26" t="s">
        <v>53</v>
      </c>
      <c r="D33" s="27" t="s">
        <v>64</v>
      </c>
    </row>
    <row r="34" spans="2:5" ht="16.2" x14ac:dyDescent="0.45">
      <c r="B34" s="23">
        <v>32</v>
      </c>
      <c r="C34" s="26" t="s">
        <v>54</v>
      </c>
      <c r="D34" s="27" t="s">
        <v>64</v>
      </c>
    </row>
    <row r="35" spans="2:5" ht="16.2" x14ac:dyDescent="0.45">
      <c r="B35" s="23">
        <v>33</v>
      </c>
      <c r="C35" s="26" t="s">
        <v>55</v>
      </c>
      <c r="D35" s="27" t="s">
        <v>64</v>
      </c>
    </row>
    <row r="36" spans="2:5" ht="16.2" x14ac:dyDescent="0.45">
      <c r="B36" s="23">
        <v>34</v>
      </c>
      <c r="C36" s="26" t="s">
        <v>56</v>
      </c>
      <c r="D36" s="27" t="s">
        <v>64</v>
      </c>
    </row>
    <row r="37" spans="2:5" ht="16.2" x14ac:dyDescent="0.45">
      <c r="B37" s="23">
        <v>35</v>
      </c>
      <c r="C37" s="26" t="s">
        <v>57</v>
      </c>
      <c r="D37" s="27" t="s">
        <v>64</v>
      </c>
    </row>
    <row r="38" spans="2:5" ht="16.2" x14ac:dyDescent="0.45">
      <c r="B38" s="23">
        <v>36</v>
      </c>
      <c r="C38" s="26" t="s">
        <v>58</v>
      </c>
      <c r="D38" s="27" t="s">
        <v>64</v>
      </c>
    </row>
    <row r="39" spans="2:5" ht="16.2" x14ac:dyDescent="0.45">
      <c r="B39" s="23">
        <v>37</v>
      </c>
      <c r="C39" s="26" t="s">
        <v>59</v>
      </c>
      <c r="D39" s="27" t="s">
        <v>64</v>
      </c>
    </row>
    <row r="40" spans="2:5" ht="16.2" x14ac:dyDescent="0.45">
      <c r="B40" s="23">
        <v>38</v>
      </c>
      <c r="C40" s="26" t="s">
        <v>60</v>
      </c>
      <c r="D40" s="27" t="s">
        <v>64</v>
      </c>
    </row>
    <row r="41" spans="2:5" ht="16.2" x14ac:dyDescent="0.45">
      <c r="B41" s="23">
        <v>39</v>
      </c>
      <c r="C41" s="26" t="s">
        <v>61</v>
      </c>
      <c r="D41" s="27" t="s">
        <v>64</v>
      </c>
    </row>
    <row r="42" spans="2:5" ht="16.2" x14ac:dyDescent="0.45">
      <c r="B42" s="23">
        <v>40</v>
      </c>
      <c r="C42" s="26" t="s">
        <v>62</v>
      </c>
      <c r="D42" s="27" t="s">
        <v>64</v>
      </c>
    </row>
    <row r="43" spans="2:5" ht="16.8" thickBot="1" x14ac:dyDescent="0.5">
      <c r="B43" s="23">
        <v>41</v>
      </c>
      <c r="C43" s="28" t="s">
        <v>63</v>
      </c>
      <c r="D43" s="29" t="s">
        <v>64</v>
      </c>
      <c r="E43" s="23">
        <f>COUNTA(C28:C43)</f>
        <v>16</v>
      </c>
    </row>
    <row r="44" spans="2:5" ht="16.2" x14ac:dyDescent="0.45">
      <c r="B44" s="23">
        <v>42</v>
      </c>
      <c r="C44" s="24" t="s">
        <v>65</v>
      </c>
      <c r="D44" s="25" t="s">
        <v>76</v>
      </c>
    </row>
    <row r="45" spans="2:5" ht="16.2" x14ac:dyDescent="0.45">
      <c r="B45" s="23">
        <v>43</v>
      </c>
      <c r="C45" s="26" t="s">
        <v>66</v>
      </c>
      <c r="D45" s="27" t="s">
        <v>76</v>
      </c>
    </row>
    <row r="46" spans="2:5" ht="16.2" x14ac:dyDescent="0.45">
      <c r="B46" s="23">
        <v>44</v>
      </c>
      <c r="C46" s="26" t="s">
        <v>67</v>
      </c>
      <c r="D46" s="27" t="s">
        <v>76</v>
      </c>
    </row>
    <row r="47" spans="2:5" ht="16.2" x14ac:dyDescent="0.45">
      <c r="B47" s="23">
        <v>45</v>
      </c>
      <c r="C47" s="26" t="s">
        <v>68</v>
      </c>
      <c r="D47" s="27" t="s">
        <v>76</v>
      </c>
    </row>
    <row r="48" spans="2:5" ht="16.2" x14ac:dyDescent="0.45">
      <c r="B48" s="23">
        <v>46</v>
      </c>
      <c r="C48" s="26" t="s">
        <v>69</v>
      </c>
      <c r="D48" s="27" t="s">
        <v>76</v>
      </c>
    </row>
    <row r="49" spans="2:5" ht="16.2" x14ac:dyDescent="0.45">
      <c r="B49" s="23">
        <v>47</v>
      </c>
      <c r="C49" s="26" t="s">
        <v>70</v>
      </c>
      <c r="D49" s="27" t="s">
        <v>76</v>
      </c>
    </row>
    <row r="50" spans="2:5" ht="16.2" x14ac:dyDescent="0.45">
      <c r="B50" s="23">
        <v>48</v>
      </c>
      <c r="C50" s="26" t="s">
        <v>77</v>
      </c>
      <c r="D50" s="27" t="s">
        <v>76</v>
      </c>
    </row>
    <row r="51" spans="2:5" ht="16.2" x14ac:dyDescent="0.45">
      <c r="B51" s="23">
        <v>49</v>
      </c>
      <c r="C51" s="26" t="s">
        <v>71</v>
      </c>
      <c r="D51" s="27" t="s">
        <v>76</v>
      </c>
    </row>
    <row r="52" spans="2:5" ht="16.2" x14ac:dyDescent="0.45">
      <c r="B52" s="23">
        <v>50</v>
      </c>
      <c r="C52" s="26" t="s">
        <v>72</v>
      </c>
      <c r="D52" s="27" t="s">
        <v>76</v>
      </c>
    </row>
    <row r="53" spans="2:5" ht="16.2" x14ac:dyDescent="0.45">
      <c r="B53" s="23">
        <v>51</v>
      </c>
      <c r="C53" s="26" t="s">
        <v>73</v>
      </c>
      <c r="D53" s="27" t="s">
        <v>76</v>
      </c>
    </row>
    <row r="54" spans="2:5" ht="16.2" x14ac:dyDescent="0.45">
      <c r="B54" s="23">
        <v>52</v>
      </c>
      <c r="C54" s="26" t="s">
        <v>74</v>
      </c>
      <c r="D54" s="27" t="s">
        <v>76</v>
      </c>
    </row>
    <row r="55" spans="2:5" ht="16.8" thickBot="1" x14ac:dyDescent="0.5">
      <c r="B55" s="23">
        <v>53</v>
      </c>
      <c r="C55" s="30" t="s">
        <v>75</v>
      </c>
      <c r="D55" s="31" t="s">
        <v>76</v>
      </c>
      <c r="E55" s="23">
        <f>COUNTA(C44:C55)</f>
        <v>12</v>
      </c>
    </row>
  </sheetData>
  <phoneticPr fontId="1"/>
  <pageMargins left="0.7" right="0.7" top="0.75" bottom="0.75" header="0.3" footer="0.3"/>
  <pageSetup paperSize="9" orientation="landscape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印刷マクロ">
                <anchor moveWithCells="1" sizeWithCells="1">
                  <from>
                    <xdr:col>4</xdr:col>
                    <xdr:colOff>350520</xdr:colOff>
                    <xdr:row>3</xdr:row>
                    <xdr:rowOff>15240</xdr:rowOff>
                  </from>
                  <to>
                    <xdr:col>5</xdr:col>
                    <xdr:colOff>464820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3F7EC-850B-4753-9F52-4696C04B162E}">
  <sheetPr codeName="Sheet2"/>
  <dimension ref="B2:E20"/>
  <sheetViews>
    <sheetView showWhiteSpace="0" view="pageLayout" zoomScaleNormal="100" workbookViewId="0">
      <selection activeCell="H7" sqref="H7"/>
    </sheetView>
  </sheetViews>
  <sheetFormatPr defaultRowHeight="15" x14ac:dyDescent="0.45"/>
  <cols>
    <col min="1" max="1" width="24.5" style="1" customWidth="1"/>
    <col min="2" max="4" width="10.69921875" style="1" customWidth="1"/>
    <col min="5" max="16384" width="8.796875" style="1"/>
  </cols>
  <sheetData>
    <row r="2" spans="2:5" ht="38.4" customHeight="1" x14ac:dyDescent="0.45"/>
    <row r="3" spans="2:5" ht="24" customHeight="1" x14ac:dyDescent="0.45">
      <c r="B3" s="10" t="s">
        <v>21</v>
      </c>
    </row>
    <row r="4" spans="2:5" ht="23.4" customHeight="1" x14ac:dyDescent="0.45">
      <c r="B4" s="2" t="str">
        <f>組名簿!$C$1</f>
        <v>2025年度</v>
      </c>
    </row>
    <row r="5" spans="2:5" ht="40.200000000000003" customHeight="1" thickBot="1" x14ac:dyDescent="0.5">
      <c r="B5" s="3" t="s">
        <v>2</v>
      </c>
    </row>
    <row r="6" spans="2:5" ht="31.2" customHeight="1" thickBot="1" x14ac:dyDescent="0.5">
      <c r="B6" s="4" t="s">
        <v>188</v>
      </c>
      <c r="C6" s="5" t="s">
        <v>187</v>
      </c>
      <c r="D6" s="6"/>
      <c r="E6" s="2" t="s">
        <v>3</v>
      </c>
    </row>
    <row r="7" spans="2:5" ht="15.6" thickBot="1" x14ac:dyDescent="0.5"/>
    <row r="8" spans="2:5" ht="15.6" thickTop="1" x14ac:dyDescent="0.45">
      <c r="B8" s="11" t="s">
        <v>4</v>
      </c>
      <c r="C8" s="12" t="s">
        <v>5</v>
      </c>
      <c r="D8" s="13" t="s">
        <v>6</v>
      </c>
    </row>
    <row r="9" spans="2:5" ht="55.05" customHeight="1" thickBot="1" x14ac:dyDescent="0.5">
      <c r="B9" s="14"/>
      <c r="C9" s="15"/>
      <c r="D9" s="16"/>
    </row>
    <row r="10" spans="2:5" ht="15.6" thickTop="1" x14ac:dyDescent="0.45">
      <c r="B10" s="11" t="s">
        <v>7</v>
      </c>
      <c r="C10" s="12" t="s">
        <v>10</v>
      </c>
      <c r="D10" s="13" t="s">
        <v>11</v>
      </c>
    </row>
    <row r="11" spans="2:5" ht="55.05" customHeight="1" thickBot="1" x14ac:dyDescent="0.5">
      <c r="B11" s="17"/>
      <c r="C11" s="18"/>
      <c r="D11" s="19"/>
    </row>
    <row r="12" spans="2:5" ht="15.6" thickTop="1" x14ac:dyDescent="0.45">
      <c r="B12" s="11" t="s">
        <v>8</v>
      </c>
      <c r="C12" s="12" t="s">
        <v>12</v>
      </c>
      <c r="D12" s="13" t="s">
        <v>13</v>
      </c>
    </row>
    <row r="13" spans="2:5" ht="55.05" customHeight="1" thickBot="1" x14ac:dyDescent="0.5">
      <c r="B13" s="17"/>
      <c r="C13" s="18"/>
      <c r="D13" s="19"/>
    </row>
    <row r="14" spans="2:5" ht="15.6" thickTop="1" x14ac:dyDescent="0.45">
      <c r="B14" s="11" t="s">
        <v>9</v>
      </c>
      <c r="C14" s="12" t="s">
        <v>14</v>
      </c>
      <c r="D14" s="13" t="s">
        <v>14</v>
      </c>
    </row>
    <row r="15" spans="2:5" ht="55.05" customHeight="1" thickBot="1" x14ac:dyDescent="0.5">
      <c r="B15" s="20"/>
      <c r="C15" s="21"/>
      <c r="D15" s="22"/>
    </row>
    <row r="16" spans="2:5" ht="6.6" customHeight="1" thickTop="1" x14ac:dyDescent="0.45"/>
    <row r="17" spans="2:3" ht="16.2" x14ac:dyDescent="0.45">
      <c r="B17" s="7" t="s">
        <v>16</v>
      </c>
    </row>
    <row r="18" spans="2:3" ht="6.6" customHeight="1" x14ac:dyDescent="0.45"/>
    <row r="19" spans="2:3" x14ac:dyDescent="0.45">
      <c r="B19" s="8" t="s">
        <v>17</v>
      </c>
      <c r="C19" s="9" t="s">
        <v>18</v>
      </c>
    </row>
    <row r="20" spans="2:3" x14ac:dyDescent="0.45">
      <c r="B20" s="8" t="s">
        <v>19</v>
      </c>
      <c r="C20" s="9" t="s">
        <v>20</v>
      </c>
    </row>
  </sheetData>
  <phoneticPr fontId="1"/>
  <pageMargins left="0.70866141732283472" right="0.70866141732283472" top="1.3080314960629922" bottom="0.74803149606299213" header="0.31496062992125984" footer="0.31496062992125984"/>
  <pageSetup paperSize="9" scale="95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007F9-3F91-4B45-BC87-236D339A8505}">
  <dimension ref="B1:P32"/>
  <sheetViews>
    <sheetView workbookViewId="0">
      <selection activeCell="Q13" sqref="Q13"/>
    </sheetView>
  </sheetViews>
  <sheetFormatPr defaultRowHeight="15" x14ac:dyDescent="0.45"/>
  <cols>
    <col min="1" max="1" width="2.8984375" style="23" customWidth="1"/>
    <col min="2" max="2" width="8.796875" style="23"/>
    <col min="3" max="3" width="31" style="23" bestFit="1" customWidth="1"/>
    <col min="4" max="4" width="9" style="23" customWidth="1"/>
    <col min="5" max="8" width="9.09765625" style="23" bestFit="1" customWidth="1"/>
    <col min="9" max="10" width="10.19921875" style="23" bestFit="1" customWidth="1"/>
    <col min="11" max="11" width="8.796875" style="23"/>
    <col min="12" max="12" width="9.69921875" style="23" bestFit="1" customWidth="1"/>
    <col min="13" max="13" width="11.69921875" style="23" bestFit="1" customWidth="1"/>
    <col min="14" max="14" width="10" style="23" customWidth="1"/>
    <col min="15" max="15" width="11.3984375" style="23" customWidth="1"/>
    <col min="16" max="16" width="9.69921875" style="23" bestFit="1" customWidth="1"/>
    <col min="17" max="16384" width="8.796875" style="23"/>
  </cols>
  <sheetData>
    <row r="1" spans="2:16" x14ac:dyDescent="0.45">
      <c r="D1" s="23" t="s">
        <v>151</v>
      </c>
      <c r="E1" s="23">
        <v>7</v>
      </c>
      <c r="F1" s="23">
        <v>11</v>
      </c>
      <c r="G1" s="23">
        <v>15</v>
      </c>
      <c r="H1" s="23">
        <v>11</v>
      </c>
    </row>
    <row r="2" spans="2:16" x14ac:dyDescent="0.45">
      <c r="D2" s="23" t="s">
        <v>150</v>
      </c>
      <c r="E2" s="23">
        <v>10</v>
      </c>
      <c r="F2" s="23">
        <v>11</v>
      </c>
      <c r="G2" s="23">
        <v>14</v>
      </c>
      <c r="H2" s="23">
        <v>12</v>
      </c>
    </row>
    <row r="3" spans="2:16" ht="15.6" thickBot="1" x14ac:dyDescent="0.5">
      <c r="D3" s="23" t="s">
        <v>149</v>
      </c>
      <c r="E3" s="23">
        <v>14</v>
      </c>
      <c r="F3" s="23">
        <v>11</v>
      </c>
      <c r="G3" s="23">
        <v>16</v>
      </c>
      <c r="H3" s="23">
        <v>12</v>
      </c>
    </row>
    <row r="4" spans="2:16" ht="15.6" thickBot="1" x14ac:dyDescent="0.5">
      <c r="B4" s="32"/>
      <c r="C4" s="33"/>
      <c r="D4" s="60" t="s">
        <v>119</v>
      </c>
      <c r="E4" s="61" t="s">
        <v>36</v>
      </c>
      <c r="F4" s="15" t="s">
        <v>15</v>
      </c>
      <c r="G4" s="15" t="s">
        <v>64</v>
      </c>
      <c r="H4" s="15" t="s">
        <v>76</v>
      </c>
    </row>
    <row r="5" spans="2:16" x14ac:dyDescent="0.45">
      <c r="B5" s="93" t="s">
        <v>4</v>
      </c>
      <c r="C5" s="94" t="s">
        <v>90</v>
      </c>
      <c r="D5" s="57">
        <v>2000</v>
      </c>
      <c r="E5" s="38">
        <f>E$3*$D5</f>
        <v>28000</v>
      </c>
      <c r="F5" s="39">
        <f t="shared" ref="F5:H23" si="0">F$3*$D5</f>
        <v>22000</v>
      </c>
      <c r="G5" s="39">
        <f t="shared" si="0"/>
        <v>32000</v>
      </c>
      <c r="H5" s="39">
        <f t="shared" si="0"/>
        <v>24000</v>
      </c>
      <c r="I5" s="39">
        <f>SUM(E5:H5)</f>
        <v>106000</v>
      </c>
      <c r="J5" s="95">
        <f>SUM(I5)</f>
        <v>106000</v>
      </c>
    </row>
    <row r="6" spans="2:16" ht="15.6" thickBot="1" x14ac:dyDescent="0.5">
      <c r="B6" s="43"/>
      <c r="C6" s="96" t="s">
        <v>145</v>
      </c>
      <c r="D6" s="97">
        <v>10000</v>
      </c>
      <c r="E6" s="55"/>
      <c r="F6" s="44"/>
      <c r="G6" s="44"/>
      <c r="H6" s="44"/>
      <c r="I6" s="44"/>
      <c r="J6" s="46">
        <v>10000</v>
      </c>
    </row>
    <row r="7" spans="2:16" x14ac:dyDescent="0.45">
      <c r="B7" s="37" t="s">
        <v>80</v>
      </c>
      <c r="C7" s="51" t="s">
        <v>90</v>
      </c>
      <c r="D7" s="57">
        <v>2000</v>
      </c>
      <c r="E7" s="38">
        <f>E$3*$D7</f>
        <v>28000</v>
      </c>
      <c r="F7" s="39">
        <f t="shared" si="0"/>
        <v>22000</v>
      </c>
      <c r="G7" s="39">
        <f t="shared" si="0"/>
        <v>32000</v>
      </c>
      <c r="H7" s="39">
        <f t="shared" si="0"/>
        <v>24000</v>
      </c>
      <c r="I7" s="39">
        <f t="shared" ref="I7:I29" si="1">SUM(E7:H7)</f>
        <v>106000</v>
      </c>
      <c r="J7" s="40"/>
    </row>
    <row r="8" spans="2:16" x14ac:dyDescent="0.45">
      <c r="B8" s="41"/>
      <c r="C8" s="52" t="s">
        <v>83</v>
      </c>
      <c r="D8" s="58">
        <v>6500</v>
      </c>
      <c r="E8" s="36">
        <f>E$2*$D8</f>
        <v>65000</v>
      </c>
      <c r="F8" s="36">
        <f t="shared" ref="F8:H8" si="2">F$2*$D8</f>
        <v>71500</v>
      </c>
      <c r="G8" s="36">
        <f t="shared" si="2"/>
        <v>91000</v>
      </c>
      <c r="H8" s="36">
        <f t="shared" si="2"/>
        <v>78000</v>
      </c>
      <c r="I8" s="35">
        <f t="shared" si="1"/>
        <v>305500</v>
      </c>
      <c r="J8" s="42"/>
    </row>
    <row r="9" spans="2:16" x14ac:dyDescent="0.45">
      <c r="B9" s="41"/>
      <c r="C9" s="52" t="s">
        <v>84</v>
      </c>
      <c r="D9" s="58">
        <v>500</v>
      </c>
      <c r="E9" s="36">
        <f t="shared" ref="E9:H29" si="3">E$3*$D9</f>
        <v>7000</v>
      </c>
      <c r="F9" s="34">
        <f t="shared" si="0"/>
        <v>5500</v>
      </c>
      <c r="G9" s="34">
        <f t="shared" si="0"/>
        <v>8000</v>
      </c>
      <c r="H9" s="34">
        <f t="shared" si="0"/>
        <v>6000</v>
      </c>
      <c r="I9" s="35">
        <f t="shared" si="1"/>
        <v>26500</v>
      </c>
      <c r="J9" s="42"/>
    </row>
    <row r="10" spans="2:16" ht="15.6" thickBot="1" x14ac:dyDescent="0.5">
      <c r="B10" s="43"/>
      <c r="C10" s="53" t="s">
        <v>99</v>
      </c>
      <c r="D10" s="59">
        <v>300</v>
      </c>
      <c r="E10" s="55">
        <f t="shared" si="3"/>
        <v>4200</v>
      </c>
      <c r="F10" s="44">
        <f t="shared" si="0"/>
        <v>3300</v>
      </c>
      <c r="G10" s="44">
        <f t="shared" si="0"/>
        <v>4800</v>
      </c>
      <c r="H10" s="44">
        <f t="shared" si="0"/>
        <v>3600</v>
      </c>
      <c r="I10" s="45">
        <f t="shared" si="1"/>
        <v>15900</v>
      </c>
      <c r="J10" s="46">
        <f>SUM(I7:I10)</f>
        <v>453900</v>
      </c>
      <c r="L10" s="107">
        <f>SUM(E7:E10)</f>
        <v>104200</v>
      </c>
      <c r="M10" s="107">
        <f t="shared" ref="M10:O10" si="4">SUM(F7:F10)</f>
        <v>102300</v>
      </c>
      <c r="N10" s="107">
        <f t="shared" si="4"/>
        <v>135800</v>
      </c>
      <c r="O10" s="107">
        <f t="shared" si="4"/>
        <v>111600</v>
      </c>
      <c r="P10" s="107">
        <f>SUM(L10:O10)</f>
        <v>453900</v>
      </c>
    </row>
    <row r="11" spans="2:16" x14ac:dyDescent="0.45">
      <c r="B11" s="37" t="s">
        <v>85</v>
      </c>
      <c r="C11" s="51" t="s">
        <v>90</v>
      </c>
      <c r="D11" s="57">
        <v>2000</v>
      </c>
      <c r="E11" s="38">
        <f t="shared" si="3"/>
        <v>28000</v>
      </c>
      <c r="F11" s="39">
        <f t="shared" si="0"/>
        <v>22000</v>
      </c>
      <c r="G11" s="39">
        <f t="shared" si="0"/>
        <v>32000</v>
      </c>
      <c r="H11" s="39">
        <f t="shared" si="0"/>
        <v>24000</v>
      </c>
      <c r="I11" s="102">
        <f t="shared" si="1"/>
        <v>106000</v>
      </c>
      <c r="J11" s="104"/>
    </row>
    <row r="12" spans="2:16" x14ac:dyDescent="0.45">
      <c r="B12" s="41"/>
      <c r="C12" s="100" t="s">
        <v>153</v>
      </c>
      <c r="D12" s="58">
        <v>100</v>
      </c>
      <c r="E12" s="36">
        <v>1400</v>
      </c>
      <c r="F12" s="34">
        <v>1100</v>
      </c>
      <c r="G12" s="34">
        <v>1600</v>
      </c>
      <c r="H12" s="34">
        <v>1300</v>
      </c>
      <c r="I12" s="101">
        <f>SUM(E12:H12)</f>
        <v>5400</v>
      </c>
      <c r="J12" s="105"/>
    </row>
    <row r="13" spans="2:16" ht="15.6" thickBot="1" x14ac:dyDescent="0.5">
      <c r="B13" s="43"/>
      <c r="C13" s="96" t="s">
        <v>86</v>
      </c>
      <c r="D13" s="97">
        <v>2800</v>
      </c>
      <c r="E13" s="55">
        <f>E$1*$D13</f>
        <v>19600</v>
      </c>
      <c r="F13" s="44">
        <f>F$1*$D13</f>
        <v>30800</v>
      </c>
      <c r="G13" s="44">
        <f>G$1*$D13</f>
        <v>42000</v>
      </c>
      <c r="H13" s="44">
        <f>H$1*$D13</f>
        <v>30800</v>
      </c>
      <c r="I13" s="103">
        <f t="shared" si="1"/>
        <v>123200</v>
      </c>
      <c r="J13" s="106">
        <f>SUM(I11:I13)</f>
        <v>234600</v>
      </c>
      <c r="L13" s="107">
        <f>SUM(E11:E13)</f>
        <v>49000</v>
      </c>
      <c r="M13" s="107">
        <f>SUM(F11:F13)</f>
        <v>53900</v>
      </c>
      <c r="N13" s="107">
        <f>SUM(G11:G13)</f>
        <v>75600</v>
      </c>
      <c r="O13" s="107">
        <f>SUM(H11:H13)</f>
        <v>56100</v>
      </c>
      <c r="P13" s="107">
        <f>SUM(L13:O13)</f>
        <v>234600</v>
      </c>
    </row>
    <row r="14" spans="2:16" x14ac:dyDescent="0.45">
      <c r="B14" s="37" t="s">
        <v>87</v>
      </c>
      <c r="C14" s="51" t="s">
        <v>90</v>
      </c>
      <c r="D14" s="57">
        <v>2000</v>
      </c>
      <c r="E14" s="38">
        <f t="shared" si="3"/>
        <v>28000</v>
      </c>
      <c r="F14" s="39">
        <f t="shared" si="0"/>
        <v>22000</v>
      </c>
      <c r="G14" s="39">
        <f t="shared" si="0"/>
        <v>32000</v>
      </c>
      <c r="H14" s="39">
        <f t="shared" si="0"/>
        <v>24000</v>
      </c>
      <c r="I14" s="39">
        <f t="shared" si="1"/>
        <v>106000</v>
      </c>
      <c r="J14" s="42"/>
    </row>
    <row r="15" spans="2:16" ht="15.6" thickBot="1" x14ac:dyDescent="0.5">
      <c r="B15" s="43"/>
      <c r="C15" s="53" t="s">
        <v>88</v>
      </c>
      <c r="D15" s="59">
        <v>800</v>
      </c>
      <c r="E15" s="55">
        <f t="shared" si="3"/>
        <v>11200</v>
      </c>
      <c r="F15" s="44">
        <f t="shared" si="0"/>
        <v>8800</v>
      </c>
      <c r="G15" s="44">
        <f t="shared" si="0"/>
        <v>12800</v>
      </c>
      <c r="H15" s="44">
        <f t="shared" si="0"/>
        <v>9600</v>
      </c>
      <c r="I15" s="45">
        <f t="shared" si="1"/>
        <v>42400</v>
      </c>
      <c r="J15" s="46">
        <f>SUM(I14:I15)</f>
        <v>148400</v>
      </c>
      <c r="L15" s="107">
        <f>SUM(E14:E15)</f>
        <v>39200</v>
      </c>
      <c r="M15" s="107">
        <f t="shared" ref="M15" si="5">SUM(F14:F15)</f>
        <v>30800</v>
      </c>
      <c r="N15" s="107">
        <f t="shared" ref="N15" si="6">SUM(G14:G15)</f>
        <v>44800</v>
      </c>
      <c r="O15" s="107">
        <f t="shared" ref="O15" si="7">SUM(H14:H15)</f>
        <v>33600</v>
      </c>
      <c r="P15" s="107">
        <f>SUM(L15:O15)</f>
        <v>148400</v>
      </c>
    </row>
    <row r="16" spans="2:16" ht="15.6" thickBot="1" x14ac:dyDescent="0.5">
      <c r="B16" s="47" t="s">
        <v>89</v>
      </c>
      <c r="C16" s="50" t="s">
        <v>90</v>
      </c>
      <c r="D16" s="56">
        <v>2000</v>
      </c>
      <c r="E16" s="54">
        <f t="shared" si="3"/>
        <v>28000</v>
      </c>
      <c r="F16" s="48">
        <f t="shared" si="0"/>
        <v>22000</v>
      </c>
      <c r="G16" s="48">
        <f t="shared" si="0"/>
        <v>32000</v>
      </c>
      <c r="H16" s="48">
        <f t="shared" si="0"/>
        <v>24000</v>
      </c>
      <c r="I16" s="48">
        <f t="shared" si="1"/>
        <v>106000</v>
      </c>
      <c r="J16" s="49">
        <f>SUM(I16)</f>
        <v>106000</v>
      </c>
      <c r="L16" s="107"/>
      <c r="M16" s="107"/>
      <c r="N16" s="107"/>
      <c r="O16" s="107"/>
    </row>
    <row r="17" spans="2:16" x14ac:dyDescent="0.45">
      <c r="B17" s="37" t="s">
        <v>91</v>
      </c>
      <c r="C17" s="51" t="s">
        <v>90</v>
      </c>
      <c r="D17" s="57">
        <v>2000</v>
      </c>
      <c r="E17" s="38">
        <f t="shared" si="3"/>
        <v>28000</v>
      </c>
      <c r="F17" s="39">
        <f t="shared" si="0"/>
        <v>22000</v>
      </c>
      <c r="G17" s="39">
        <f t="shared" si="0"/>
        <v>32000</v>
      </c>
      <c r="H17" s="39">
        <f t="shared" si="0"/>
        <v>24000</v>
      </c>
      <c r="I17" s="39">
        <f t="shared" si="1"/>
        <v>106000</v>
      </c>
      <c r="J17" s="40"/>
    </row>
    <row r="18" spans="2:16" ht="15.6" thickBot="1" x14ac:dyDescent="0.5">
      <c r="B18" s="43"/>
      <c r="C18" s="53" t="s">
        <v>92</v>
      </c>
      <c r="D18" s="59">
        <v>6500</v>
      </c>
      <c r="E18" s="55">
        <f>E$2*$D18</f>
        <v>65000</v>
      </c>
      <c r="F18" s="44">
        <f>F$2*$D18</f>
        <v>71500</v>
      </c>
      <c r="G18" s="44">
        <f>G$2*$D18</f>
        <v>91000</v>
      </c>
      <c r="H18" s="44">
        <f>H$2*$D18</f>
        <v>78000</v>
      </c>
      <c r="I18" s="45">
        <f t="shared" si="1"/>
        <v>305500</v>
      </c>
      <c r="J18" s="46">
        <f>SUM(I17:I18)</f>
        <v>411500</v>
      </c>
      <c r="L18" s="107">
        <f>SUM(E17:E18)</f>
        <v>93000</v>
      </c>
      <c r="M18" s="107">
        <f t="shared" ref="M18" si="8">SUM(F17:F18)</f>
        <v>93500</v>
      </c>
      <c r="N18" s="107">
        <f t="shared" ref="N18" si="9">SUM(G17:G18)</f>
        <v>123000</v>
      </c>
      <c r="O18" s="107">
        <f t="shared" ref="O18" si="10">SUM(H17:H18)</f>
        <v>102000</v>
      </c>
      <c r="P18" s="107">
        <f>SUM(L18:O18)</f>
        <v>411500</v>
      </c>
    </row>
    <row r="19" spans="2:16" x14ac:dyDescent="0.45">
      <c r="B19" s="37" t="s">
        <v>8</v>
      </c>
      <c r="C19" s="51" t="s">
        <v>90</v>
      </c>
      <c r="D19" s="57">
        <v>2000</v>
      </c>
      <c r="E19" s="38">
        <f t="shared" si="3"/>
        <v>28000</v>
      </c>
      <c r="F19" s="39">
        <f t="shared" si="0"/>
        <v>22000</v>
      </c>
      <c r="G19" s="39">
        <f t="shared" si="0"/>
        <v>32000</v>
      </c>
      <c r="H19" s="39">
        <f t="shared" si="0"/>
        <v>24000</v>
      </c>
      <c r="I19" s="39">
        <f t="shared" si="1"/>
        <v>106000</v>
      </c>
      <c r="J19" s="40"/>
    </row>
    <row r="20" spans="2:16" ht="15.6" thickBot="1" x14ac:dyDescent="0.5">
      <c r="B20" s="41"/>
      <c r="C20" s="52" t="s">
        <v>93</v>
      </c>
      <c r="D20" s="97">
        <v>2800</v>
      </c>
      <c r="E20" s="36">
        <f>E$1*$D20</f>
        <v>19600</v>
      </c>
      <c r="F20" s="34">
        <f>F$1*$D20</f>
        <v>30800</v>
      </c>
      <c r="G20" s="34">
        <f>G$1*$D20</f>
        <v>42000</v>
      </c>
      <c r="H20" s="34">
        <f>H$1*$D20</f>
        <v>30800</v>
      </c>
      <c r="I20" s="35">
        <f t="shared" ref="I20" si="11">SUM(E20:H20)</f>
        <v>123200</v>
      </c>
      <c r="J20" s="42"/>
      <c r="M20" s="107"/>
    </row>
    <row r="21" spans="2:16" ht="15.6" thickBot="1" x14ac:dyDescent="0.5">
      <c r="B21" s="43"/>
      <c r="C21" s="53" t="s">
        <v>100</v>
      </c>
      <c r="D21" s="59">
        <v>600</v>
      </c>
      <c r="E21" s="55">
        <f t="shared" si="3"/>
        <v>8400</v>
      </c>
      <c r="F21" s="44">
        <f t="shared" si="0"/>
        <v>6600</v>
      </c>
      <c r="G21" s="44">
        <f t="shared" si="0"/>
        <v>9600</v>
      </c>
      <c r="H21" s="44">
        <f t="shared" si="0"/>
        <v>7200</v>
      </c>
      <c r="I21" s="45">
        <f t="shared" si="1"/>
        <v>31800</v>
      </c>
      <c r="J21" s="46">
        <f>SUM(I19:I21)</f>
        <v>261000</v>
      </c>
      <c r="L21" s="107">
        <f>SUM(E19:E21)</f>
        <v>56000</v>
      </c>
      <c r="M21" s="107">
        <f>SUM(F19:F21)</f>
        <v>59400</v>
      </c>
      <c r="N21" s="107">
        <f>SUM(G19:G21)</f>
        <v>83600</v>
      </c>
      <c r="O21" s="107">
        <f>SUM(H19:H21)</f>
        <v>62000</v>
      </c>
      <c r="P21" s="107">
        <f>SUM(L21:O21)</f>
        <v>261000</v>
      </c>
    </row>
    <row r="22" spans="2:16" x14ac:dyDescent="0.45">
      <c r="B22" s="37" t="s">
        <v>94</v>
      </c>
      <c r="C22" s="51" t="s">
        <v>90</v>
      </c>
      <c r="D22" s="57">
        <v>2000</v>
      </c>
      <c r="E22" s="38">
        <f t="shared" si="3"/>
        <v>28000</v>
      </c>
      <c r="F22" s="39">
        <f t="shared" si="0"/>
        <v>22000</v>
      </c>
      <c r="G22" s="39">
        <f t="shared" si="0"/>
        <v>32000</v>
      </c>
      <c r="H22" s="39">
        <f t="shared" si="0"/>
        <v>24000</v>
      </c>
      <c r="I22" s="39">
        <f t="shared" si="1"/>
        <v>106000</v>
      </c>
      <c r="J22" s="40"/>
    </row>
    <row r="23" spans="2:16" ht="15.6" thickBot="1" x14ac:dyDescent="0.5">
      <c r="B23" s="43"/>
      <c r="C23" s="53" t="s">
        <v>95</v>
      </c>
      <c r="D23" s="59">
        <v>400</v>
      </c>
      <c r="E23" s="55">
        <f t="shared" si="3"/>
        <v>5600</v>
      </c>
      <c r="F23" s="44">
        <f t="shared" si="0"/>
        <v>4400</v>
      </c>
      <c r="G23" s="44">
        <f t="shared" si="0"/>
        <v>6400</v>
      </c>
      <c r="H23" s="44">
        <f t="shared" si="0"/>
        <v>4800</v>
      </c>
      <c r="I23" s="45">
        <f t="shared" si="1"/>
        <v>21200</v>
      </c>
      <c r="J23" s="46">
        <f>SUM(I22:I23)</f>
        <v>127200</v>
      </c>
      <c r="L23" s="107">
        <f>SUM(E22:E23)</f>
        <v>33600</v>
      </c>
      <c r="M23" s="107">
        <f t="shared" ref="M23:O23" si="12">SUM(F22:F23)</f>
        <v>26400</v>
      </c>
      <c r="N23" s="107">
        <f t="shared" si="12"/>
        <v>38400</v>
      </c>
      <c r="O23" s="107">
        <f t="shared" si="12"/>
        <v>28800</v>
      </c>
      <c r="P23" s="107">
        <f>SUM(L23:O23)</f>
        <v>127200</v>
      </c>
    </row>
    <row r="24" spans="2:16" x14ac:dyDescent="0.45">
      <c r="B24" s="37" t="s">
        <v>96</v>
      </c>
      <c r="C24" s="51" t="s">
        <v>90</v>
      </c>
      <c r="D24" s="57">
        <v>2000</v>
      </c>
      <c r="E24" s="38">
        <f t="shared" si="3"/>
        <v>28000</v>
      </c>
      <c r="F24" s="39">
        <f t="shared" si="3"/>
        <v>22000</v>
      </c>
      <c r="G24" s="39">
        <f t="shared" si="3"/>
        <v>32000</v>
      </c>
      <c r="H24" s="39">
        <f t="shared" si="3"/>
        <v>24000</v>
      </c>
      <c r="I24" s="39">
        <f t="shared" si="1"/>
        <v>106000</v>
      </c>
      <c r="J24" s="40"/>
    </row>
    <row r="25" spans="2:16" x14ac:dyDescent="0.45">
      <c r="B25" s="41"/>
      <c r="C25" s="52" t="s">
        <v>97</v>
      </c>
      <c r="D25" s="58"/>
      <c r="E25" s="36">
        <v>11000</v>
      </c>
      <c r="F25" s="34">
        <v>11000</v>
      </c>
      <c r="G25" s="34">
        <v>15000</v>
      </c>
      <c r="H25" s="34">
        <v>10000</v>
      </c>
      <c r="I25" s="35">
        <f t="shared" si="1"/>
        <v>47000</v>
      </c>
      <c r="J25" s="42"/>
    </row>
    <row r="26" spans="2:16" ht="15.6" thickBot="1" x14ac:dyDescent="0.5">
      <c r="B26" s="43"/>
      <c r="C26" s="53" t="s">
        <v>98</v>
      </c>
      <c r="D26" s="59"/>
      <c r="E26" s="55">
        <v>3400</v>
      </c>
      <c r="F26" s="44">
        <v>3980</v>
      </c>
      <c r="G26" s="44">
        <v>9030</v>
      </c>
      <c r="H26" s="44">
        <v>16350</v>
      </c>
      <c r="I26" s="45">
        <f t="shared" si="1"/>
        <v>32760</v>
      </c>
      <c r="J26" s="46">
        <f>SUM(I24:I26)</f>
        <v>185760</v>
      </c>
      <c r="L26" s="107">
        <f>SUM(E24:E26)</f>
        <v>42400</v>
      </c>
      <c r="M26" s="107">
        <f>SUM(F24:F26)</f>
        <v>36980</v>
      </c>
      <c r="N26" s="107">
        <f>SUM(G24:G26)</f>
        <v>56030</v>
      </c>
      <c r="O26" s="107">
        <f>SUM(H24:H26)</f>
        <v>50350</v>
      </c>
      <c r="P26" s="107">
        <f>SUM(L26:O26)</f>
        <v>185760</v>
      </c>
    </row>
    <row r="27" spans="2:16" ht="15.6" thickBot="1" x14ac:dyDescent="0.5">
      <c r="B27" s="47" t="s">
        <v>9</v>
      </c>
      <c r="C27" s="50" t="s">
        <v>90</v>
      </c>
      <c r="D27" s="56">
        <v>2000</v>
      </c>
      <c r="E27" s="54">
        <f t="shared" si="3"/>
        <v>28000</v>
      </c>
      <c r="F27" s="48">
        <f t="shared" si="3"/>
        <v>22000</v>
      </c>
      <c r="G27" s="48">
        <f t="shared" si="3"/>
        <v>32000</v>
      </c>
      <c r="H27" s="48">
        <f t="shared" si="3"/>
        <v>24000</v>
      </c>
      <c r="I27" s="48">
        <f t="shared" si="1"/>
        <v>106000</v>
      </c>
      <c r="J27" s="49">
        <f>SUM(I27)</f>
        <v>106000</v>
      </c>
    </row>
    <row r="28" spans="2:16" ht="15.6" thickBot="1" x14ac:dyDescent="0.5">
      <c r="B28" s="47" t="s">
        <v>81</v>
      </c>
      <c r="C28" s="50"/>
      <c r="D28" s="56"/>
      <c r="E28" s="54">
        <f t="shared" si="3"/>
        <v>0</v>
      </c>
      <c r="F28" s="48">
        <f t="shared" si="3"/>
        <v>0</v>
      </c>
      <c r="G28" s="48">
        <f t="shared" si="3"/>
        <v>0</v>
      </c>
      <c r="H28" s="48">
        <f t="shared" si="3"/>
        <v>0</v>
      </c>
      <c r="I28" s="48">
        <f t="shared" si="1"/>
        <v>0</v>
      </c>
      <c r="J28" s="49">
        <f>SUM(I28)</f>
        <v>0</v>
      </c>
    </row>
    <row r="29" spans="2:16" ht="15.6" thickBot="1" x14ac:dyDescent="0.5">
      <c r="B29" s="47" t="s">
        <v>82</v>
      </c>
      <c r="C29" s="50"/>
      <c r="D29" s="56"/>
      <c r="E29" s="54">
        <f t="shared" si="3"/>
        <v>0</v>
      </c>
      <c r="F29" s="48">
        <f t="shared" si="3"/>
        <v>0</v>
      </c>
      <c r="G29" s="48">
        <f t="shared" si="3"/>
        <v>0</v>
      </c>
      <c r="H29" s="48">
        <f t="shared" si="3"/>
        <v>0</v>
      </c>
      <c r="I29" s="48">
        <f t="shared" si="1"/>
        <v>0</v>
      </c>
      <c r="J29" s="49">
        <f>SUM(I29)</f>
        <v>0</v>
      </c>
    </row>
    <row r="31" spans="2:16" x14ac:dyDescent="0.45">
      <c r="I31" s="107"/>
      <c r="J31" s="107"/>
    </row>
    <row r="32" spans="2:16" x14ac:dyDescent="0.45">
      <c r="I32" s="107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1043-DA5D-4974-9E35-163820179A9F}">
  <dimension ref="A1:I40"/>
  <sheetViews>
    <sheetView topLeftCell="A22" workbookViewId="0">
      <selection activeCell="K13" sqref="K13"/>
    </sheetView>
  </sheetViews>
  <sheetFormatPr defaultColWidth="9" defaultRowHeight="19.2" x14ac:dyDescent="0.45"/>
  <cols>
    <col min="1" max="1" width="10.59765625" style="62" customWidth="1"/>
    <col min="2" max="2" width="8.09765625" style="62" customWidth="1"/>
    <col min="3" max="3" width="2.796875" style="62" customWidth="1"/>
    <col min="4" max="4" width="20.59765625" style="62" customWidth="1"/>
    <col min="5" max="5" width="2" style="62" customWidth="1"/>
    <col min="6" max="7" width="10.59765625" style="62" customWidth="1"/>
    <col min="8" max="8" width="3.59765625" style="62" customWidth="1"/>
    <col min="9" max="9" width="20.59765625" style="62" customWidth="1"/>
    <col min="10" max="16384" width="9" style="62"/>
  </cols>
  <sheetData>
    <row r="1" spans="1:9" x14ac:dyDescent="0.45">
      <c r="A1" s="62" t="s">
        <v>116</v>
      </c>
    </row>
    <row r="2" spans="1:9" x14ac:dyDescent="0.45">
      <c r="A2" s="110" t="s">
        <v>101</v>
      </c>
      <c r="B2" s="110"/>
      <c r="C2" s="110"/>
      <c r="D2" s="110"/>
      <c r="F2" s="110" t="s">
        <v>101</v>
      </c>
      <c r="G2" s="110"/>
      <c r="H2" s="110"/>
      <c r="I2" s="110"/>
    </row>
    <row r="3" spans="1:9" x14ac:dyDescent="0.45">
      <c r="A3" s="110" t="s">
        <v>102</v>
      </c>
      <c r="B3" s="110"/>
      <c r="C3" s="110"/>
      <c r="D3" s="110"/>
      <c r="F3" s="110" t="s">
        <v>103</v>
      </c>
      <c r="G3" s="110"/>
      <c r="H3" s="110"/>
      <c r="I3" s="110"/>
    </row>
    <row r="4" spans="1:9" x14ac:dyDescent="0.45">
      <c r="A4" s="111" t="s">
        <v>118</v>
      </c>
      <c r="B4" s="112"/>
      <c r="C4" s="113"/>
      <c r="D4" s="66">
        <v>500</v>
      </c>
      <c r="F4" s="111" t="s">
        <v>118</v>
      </c>
      <c r="G4" s="112"/>
      <c r="H4" s="113"/>
      <c r="I4" s="66">
        <v>300</v>
      </c>
    </row>
    <row r="5" spans="1:9" x14ac:dyDescent="0.45">
      <c r="A5" s="64" t="s">
        <v>104</v>
      </c>
      <c r="B5" s="64">
        <f>徴収内訳!$E$3</f>
        <v>14</v>
      </c>
      <c r="C5" s="65" t="s">
        <v>117</v>
      </c>
      <c r="D5" s="67">
        <f>D4*B5</f>
        <v>7000</v>
      </c>
      <c r="E5" s="68"/>
      <c r="F5" s="63" t="s">
        <v>104</v>
      </c>
      <c r="G5" s="64">
        <f>徴収内訳!$E$3</f>
        <v>14</v>
      </c>
      <c r="H5" s="65" t="s">
        <v>117</v>
      </c>
      <c r="I5" s="67">
        <f>I4*G5</f>
        <v>4200</v>
      </c>
    </row>
    <row r="6" spans="1:9" x14ac:dyDescent="0.45">
      <c r="A6" s="64" t="s">
        <v>105</v>
      </c>
      <c r="B6" s="64">
        <f>徴収内訳!$F$3</f>
        <v>11</v>
      </c>
      <c r="C6" s="65" t="s">
        <v>117</v>
      </c>
      <c r="D6" s="67">
        <f>D4*B6</f>
        <v>5500</v>
      </c>
      <c r="E6" s="68"/>
      <c r="F6" s="63" t="s">
        <v>105</v>
      </c>
      <c r="G6" s="64">
        <f>徴収内訳!$F$3</f>
        <v>11</v>
      </c>
      <c r="H6" s="65" t="s">
        <v>117</v>
      </c>
      <c r="I6" s="67">
        <f>I4*G6</f>
        <v>3300</v>
      </c>
    </row>
    <row r="7" spans="1:9" x14ac:dyDescent="0.45">
      <c r="A7" s="64" t="s">
        <v>106</v>
      </c>
      <c r="B7" s="64">
        <f>徴収内訳!$G$3</f>
        <v>16</v>
      </c>
      <c r="C7" s="65" t="s">
        <v>117</v>
      </c>
      <c r="D7" s="67">
        <f>D4*B7</f>
        <v>8000</v>
      </c>
      <c r="E7" s="68"/>
      <c r="F7" s="63" t="s">
        <v>106</v>
      </c>
      <c r="G7" s="64">
        <f>徴収内訳!$G$3</f>
        <v>16</v>
      </c>
      <c r="H7" s="65" t="s">
        <v>117</v>
      </c>
      <c r="I7" s="67">
        <f>I4*G7</f>
        <v>4800</v>
      </c>
    </row>
    <row r="8" spans="1:9" x14ac:dyDescent="0.45">
      <c r="A8" s="64" t="s">
        <v>107</v>
      </c>
      <c r="B8" s="64">
        <f>徴収内訳!$H$3</f>
        <v>12</v>
      </c>
      <c r="C8" s="65" t="s">
        <v>117</v>
      </c>
      <c r="D8" s="67">
        <f>D4*B8</f>
        <v>6000</v>
      </c>
      <c r="E8" s="68"/>
      <c r="F8" s="63" t="s">
        <v>107</v>
      </c>
      <c r="G8" s="64">
        <f>徴収内訳!$H$3</f>
        <v>12</v>
      </c>
      <c r="H8" s="65" t="s">
        <v>117</v>
      </c>
      <c r="I8" s="67">
        <f>I4*G8</f>
        <v>3600</v>
      </c>
    </row>
    <row r="9" spans="1:9" x14ac:dyDescent="0.45">
      <c r="A9" s="64" t="s">
        <v>108</v>
      </c>
      <c r="B9" s="69">
        <f>SUM(B5:B8)</f>
        <v>53</v>
      </c>
      <c r="C9" s="65" t="s">
        <v>117</v>
      </c>
      <c r="D9" s="67">
        <f>SUM(D5:D8)</f>
        <v>26500</v>
      </c>
      <c r="E9" s="68"/>
      <c r="F9" s="63" t="s">
        <v>108</v>
      </c>
      <c r="G9" s="69">
        <f>SUM(G5:G8)</f>
        <v>53</v>
      </c>
      <c r="H9" s="65" t="s">
        <v>117</v>
      </c>
      <c r="I9" s="67">
        <f>SUM(I5:I8)</f>
        <v>15900</v>
      </c>
    </row>
    <row r="10" spans="1:9" x14ac:dyDescent="0.45">
      <c r="A10" s="110" t="s">
        <v>109</v>
      </c>
      <c r="B10" s="114"/>
      <c r="C10" s="114"/>
      <c r="D10" s="110"/>
      <c r="F10" s="110" t="s">
        <v>110</v>
      </c>
      <c r="G10" s="110"/>
      <c r="H10" s="110"/>
      <c r="I10" s="110"/>
    </row>
    <row r="12" spans="1:9" x14ac:dyDescent="0.45">
      <c r="A12" s="110" t="s">
        <v>111</v>
      </c>
      <c r="B12" s="110"/>
      <c r="C12" s="110"/>
      <c r="D12" s="110"/>
      <c r="F12" s="115"/>
      <c r="G12" s="115"/>
      <c r="H12" s="115"/>
      <c r="I12" s="115"/>
    </row>
    <row r="13" spans="1:9" x14ac:dyDescent="0.45">
      <c r="A13" s="110" t="s">
        <v>112</v>
      </c>
      <c r="B13" s="110"/>
      <c r="C13" s="110"/>
      <c r="D13" s="110"/>
      <c r="F13" s="115"/>
      <c r="G13" s="115"/>
      <c r="H13" s="115"/>
      <c r="I13" s="115"/>
    </row>
    <row r="14" spans="1:9" x14ac:dyDescent="0.45">
      <c r="A14" s="111" t="s">
        <v>118</v>
      </c>
      <c r="B14" s="112"/>
      <c r="C14" s="113"/>
      <c r="D14" s="66">
        <v>800</v>
      </c>
      <c r="F14" s="115"/>
      <c r="G14" s="115"/>
      <c r="H14" s="115"/>
      <c r="I14" s="115"/>
    </row>
    <row r="15" spans="1:9" x14ac:dyDescent="0.45">
      <c r="A15" s="63" t="s">
        <v>104</v>
      </c>
      <c r="B15" s="64">
        <f>徴収内訳!$E$3</f>
        <v>14</v>
      </c>
      <c r="C15" s="65" t="s">
        <v>117</v>
      </c>
      <c r="D15" s="67">
        <f>D14*B15</f>
        <v>11200</v>
      </c>
      <c r="E15" s="68"/>
      <c r="F15" s="70"/>
      <c r="G15" s="70"/>
      <c r="H15" s="70"/>
      <c r="I15" s="71"/>
    </row>
    <row r="16" spans="1:9" x14ac:dyDescent="0.45">
      <c r="A16" s="63" t="s">
        <v>105</v>
      </c>
      <c r="B16" s="64">
        <f>徴収内訳!$F$3</f>
        <v>11</v>
      </c>
      <c r="C16" s="65" t="s">
        <v>117</v>
      </c>
      <c r="D16" s="67">
        <f>D14*B16</f>
        <v>8800</v>
      </c>
      <c r="E16" s="68"/>
      <c r="F16" s="70"/>
      <c r="G16" s="70"/>
      <c r="H16" s="70"/>
      <c r="I16" s="71"/>
    </row>
    <row r="17" spans="1:9" x14ac:dyDescent="0.45">
      <c r="A17" s="63" t="s">
        <v>106</v>
      </c>
      <c r="B17" s="64">
        <f>徴収内訳!$G$3</f>
        <v>16</v>
      </c>
      <c r="C17" s="65" t="s">
        <v>117</v>
      </c>
      <c r="D17" s="67">
        <f>D14*B17</f>
        <v>12800</v>
      </c>
      <c r="E17" s="68"/>
      <c r="F17" s="70"/>
      <c r="G17" s="70"/>
      <c r="H17" s="70"/>
      <c r="I17" s="71"/>
    </row>
    <row r="18" spans="1:9" x14ac:dyDescent="0.45">
      <c r="A18" s="63" t="s">
        <v>107</v>
      </c>
      <c r="B18" s="64">
        <f>徴収内訳!$H$3</f>
        <v>12</v>
      </c>
      <c r="C18" s="65" t="s">
        <v>117</v>
      </c>
      <c r="D18" s="67">
        <f>D14*B18</f>
        <v>9600</v>
      </c>
      <c r="E18" s="68"/>
      <c r="F18" s="70"/>
      <c r="G18" s="70"/>
      <c r="H18" s="70"/>
      <c r="I18" s="71"/>
    </row>
    <row r="19" spans="1:9" x14ac:dyDescent="0.45">
      <c r="A19" s="63" t="s">
        <v>108</v>
      </c>
      <c r="B19" s="69">
        <f>SUM(B15:B18)</f>
        <v>53</v>
      </c>
      <c r="C19" s="65" t="s">
        <v>117</v>
      </c>
      <c r="D19" s="67">
        <f>SUM(D15:D18)</f>
        <v>42400</v>
      </c>
      <c r="E19" s="68"/>
      <c r="F19" s="70"/>
      <c r="G19" s="70"/>
      <c r="H19" s="70"/>
      <c r="I19" s="71"/>
    </row>
    <row r="20" spans="1:9" x14ac:dyDescent="0.45">
      <c r="A20" s="110" t="s">
        <v>109</v>
      </c>
      <c r="B20" s="110"/>
      <c r="C20" s="110"/>
      <c r="D20" s="110"/>
    </row>
    <row r="22" spans="1:9" x14ac:dyDescent="0.45">
      <c r="A22" s="110" t="s">
        <v>113</v>
      </c>
      <c r="B22" s="110"/>
      <c r="C22" s="110"/>
      <c r="D22" s="110"/>
    </row>
    <row r="23" spans="1:9" x14ac:dyDescent="0.45">
      <c r="A23" s="110" t="s">
        <v>114</v>
      </c>
      <c r="B23" s="110"/>
      <c r="C23" s="110"/>
      <c r="D23" s="110"/>
    </row>
    <row r="24" spans="1:9" x14ac:dyDescent="0.45">
      <c r="A24" s="111" t="s">
        <v>118</v>
      </c>
      <c r="B24" s="112"/>
      <c r="C24" s="113"/>
      <c r="D24" s="66">
        <v>600</v>
      </c>
    </row>
    <row r="25" spans="1:9" x14ac:dyDescent="0.45">
      <c r="A25" s="63" t="s">
        <v>104</v>
      </c>
      <c r="B25" s="64">
        <f>徴収内訳!$E$3</f>
        <v>14</v>
      </c>
      <c r="C25" s="65" t="s">
        <v>117</v>
      </c>
      <c r="D25" s="67">
        <f>D24*B25</f>
        <v>8400</v>
      </c>
      <c r="E25" s="68"/>
    </row>
    <row r="26" spans="1:9" x14ac:dyDescent="0.45">
      <c r="A26" s="63" t="s">
        <v>105</v>
      </c>
      <c r="B26" s="64">
        <f>徴収内訳!$F$3</f>
        <v>11</v>
      </c>
      <c r="C26" s="65" t="s">
        <v>117</v>
      </c>
      <c r="D26" s="67">
        <f>D24*B26</f>
        <v>6600</v>
      </c>
      <c r="E26" s="68"/>
    </row>
    <row r="27" spans="1:9" x14ac:dyDescent="0.45">
      <c r="A27" s="63" t="s">
        <v>106</v>
      </c>
      <c r="B27" s="64">
        <f>徴収内訳!$G$3</f>
        <v>16</v>
      </c>
      <c r="C27" s="65" t="s">
        <v>117</v>
      </c>
      <c r="D27" s="67">
        <f>D24*B27</f>
        <v>9600</v>
      </c>
      <c r="E27" s="68"/>
    </row>
    <row r="28" spans="1:9" x14ac:dyDescent="0.45">
      <c r="A28" s="63" t="s">
        <v>107</v>
      </c>
      <c r="B28" s="64">
        <f>徴収内訳!$H$3</f>
        <v>12</v>
      </c>
      <c r="C28" s="65" t="s">
        <v>117</v>
      </c>
      <c r="D28" s="67">
        <f>D24*B28</f>
        <v>7200</v>
      </c>
      <c r="E28" s="68"/>
    </row>
    <row r="29" spans="1:9" x14ac:dyDescent="0.45">
      <c r="A29" s="63" t="s">
        <v>108</v>
      </c>
      <c r="B29" s="69">
        <f>SUM(B25:B28)</f>
        <v>53</v>
      </c>
      <c r="C29" s="65" t="s">
        <v>117</v>
      </c>
      <c r="D29" s="67">
        <f>SUM(D25:D28)</f>
        <v>31800</v>
      </c>
      <c r="E29" s="68"/>
    </row>
    <row r="30" spans="1:9" x14ac:dyDescent="0.45">
      <c r="A30" s="110" t="s">
        <v>109</v>
      </c>
      <c r="B30" s="110"/>
      <c r="C30" s="110"/>
      <c r="D30" s="110"/>
    </row>
    <row r="32" spans="1:9" x14ac:dyDescent="0.45">
      <c r="A32" s="110" t="s">
        <v>115</v>
      </c>
      <c r="B32" s="110"/>
      <c r="C32" s="110"/>
      <c r="D32" s="110"/>
    </row>
    <row r="33" spans="1:4" x14ac:dyDescent="0.45">
      <c r="A33" s="110" t="s">
        <v>95</v>
      </c>
      <c r="B33" s="110"/>
      <c r="C33" s="110"/>
      <c r="D33" s="110"/>
    </row>
    <row r="34" spans="1:4" x14ac:dyDescent="0.45">
      <c r="A34" s="111" t="s">
        <v>118</v>
      </c>
      <c r="B34" s="112"/>
      <c r="C34" s="113"/>
      <c r="D34" s="66">
        <v>400</v>
      </c>
    </row>
    <row r="35" spans="1:4" x14ac:dyDescent="0.45">
      <c r="A35" s="63" t="s">
        <v>104</v>
      </c>
      <c r="B35" s="64">
        <f>徴収内訳!$E$3</f>
        <v>14</v>
      </c>
      <c r="C35" s="65" t="s">
        <v>117</v>
      </c>
      <c r="D35" s="67">
        <f>D34*B35</f>
        <v>5600</v>
      </c>
    </row>
    <row r="36" spans="1:4" x14ac:dyDescent="0.45">
      <c r="A36" s="63" t="s">
        <v>105</v>
      </c>
      <c r="B36" s="64">
        <f>徴収内訳!$F$3</f>
        <v>11</v>
      </c>
      <c r="C36" s="65" t="s">
        <v>117</v>
      </c>
      <c r="D36" s="67">
        <f>D34*B36</f>
        <v>4400</v>
      </c>
    </row>
    <row r="37" spans="1:4" x14ac:dyDescent="0.45">
      <c r="A37" s="63" t="s">
        <v>106</v>
      </c>
      <c r="B37" s="64">
        <f>徴収内訳!$G$3</f>
        <v>16</v>
      </c>
      <c r="C37" s="65" t="s">
        <v>117</v>
      </c>
      <c r="D37" s="67">
        <f>D34*B37</f>
        <v>6400</v>
      </c>
    </row>
    <row r="38" spans="1:4" x14ac:dyDescent="0.45">
      <c r="A38" s="63" t="s">
        <v>107</v>
      </c>
      <c r="B38" s="64">
        <f>徴収内訳!$H$3</f>
        <v>12</v>
      </c>
      <c r="C38" s="65" t="s">
        <v>117</v>
      </c>
      <c r="D38" s="67">
        <f>D34*B38</f>
        <v>4800</v>
      </c>
    </row>
    <row r="39" spans="1:4" x14ac:dyDescent="0.45">
      <c r="A39" s="63" t="s">
        <v>108</v>
      </c>
      <c r="B39" s="69">
        <f>SUM(B35:B38)</f>
        <v>53</v>
      </c>
      <c r="C39" s="65" t="s">
        <v>117</v>
      </c>
      <c r="D39" s="67">
        <f>SUM(D35:D38)</f>
        <v>21200</v>
      </c>
    </row>
    <row r="40" spans="1:4" x14ac:dyDescent="0.45">
      <c r="A40" s="110" t="s">
        <v>109</v>
      </c>
      <c r="B40" s="110"/>
      <c r="C40" s="110"/>
      <c r="D40" s="110"/>
    </row>
  </sheetData>
  <mergeCells count="23">
    <mergeCell ref="A30:D30"/>
    <mergeCell ref="A32:D32"/>
    <mergeCell ref="A33:D33"/>
    <mergeCell ref="A40:D40"/>
    <mergeCell ref="A24:C24"/>
    <mergeCell ref="A34:C34"/>
    <mergeCell ref="F14:I14"/>
    <mergeCell ref="A20:D20"/>
    <mergeCell ref="A22:D22"/>
    <mergeCell ref="A23:D23"/>
    <mergeCell ref="A14:C14"/>
    <mergeCell ref="A10:D10"/>
    <mergeCell ref="F10:I10"/>
    <mergeCell ref="A12:D12"/>
    <mergeCell ref="F12:I12"/>
    <mergeCell ref="A13:D13"/>
    <mergeCell ref="F13:I13"/>
    <mergeCell ref="A2:D2"/>
    <mergeCell ref="F2:I2"/>
    <mergeCell ref="A3:D3"/>
    <mergeCell ref="F3:I3"/>
    <mergeCell ref="A4:C4"/>
    <mergeCell ref="F4:H4"/>
  </mergeCells>
  <phoneticPr fontId="1"/>
  <pageMargins left="0.25" right="0.25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0BE5D-321B-4195-844F-57CBB3AD6589}">
  <dimension ref="A2:W106"/>
  <sheetViews>
    <sheetView view="pageLayout" topLeftCell="A13" zoomScale="85" zoomScaleNormal="100" zoomScalePageLayoutView="85" workbookViewId="0">
      <selection activeCell="M16" sqref="M16"/>
    </sheetView>
  </sheetViews>
  <sheetFormatPr defaultRowHeight="26.4" x14ac:dyDescent="0.45"/>
  <cols>
    <col min="1" max="1" width="2.59765625" style="72" customWidth="1"/>
    <col min="2" max="2" width="3.5" style="72" customWidth="1"/>
    <col min="3" max="3" width="8.796875" style="72"/>
    <col min="4" max="4" width="5.8984375" style="72" customWidth="1"/>
    <col min="5" max="5" width="13.3984375" style="72" customWidth="1"/>
    <col min="6" max="6" width="10.296875" style="72" customWidth="1"/>
    <col min="7" max="7" width="6.09765625" style="72" customWidth="1"/>
    <col min="8" max="8" width="4.3984375" style="72" customWidth="1"/>
    <col min="9" max="9" width="4.5" style="72" customWidth="1"/>
    <col min="10" max="10" width="13.59765625" style="72" customWidth="1"/>
    <col min="11" max="11" width="10.5" style="72" customWidth="1"/>
    <col min="12" max="12" width="8.796875" style="72"/>
    <col min="13" max="13" width="3.69921875" style="72" customWidth="1"/>
    <col min="14" max="16384" width="8.796875" style="72"/>
  </cols>
  <sheetData>
    <row r="2" spans="2:23" ht="28.8" x14ac:dyDescent="0.45">
      <c r="B2" s="79">
        <v>1</v>
      </c>
      <c r="C2" s="79" t="s">
        <v>120</v>
      </c>
      <c r="D2" s="79"/>
      <c r="J2" s="98" t="s">
        <v>183</v>
      </c>
      <c r="N2" s="79"/>
      <c r="O2" s="79"/>
      <c r="P2" s="79"/>
      <c r="V2" s="73"/>
    </row>
    <row r="3" spans="2:23" ht="24" customHeight="1" x14ac:dyDescent="0.45">
      <c r="J3" s="98" t="s">
        <v>126</v>
      </c>
      <c r="V3" s="73"/>
    </row>
    <row r="4" spans="2:23" ht="21.6" customHeight="1" x14ac:dyDescent="0.45">
      <c r="J4" s="98" t="s">
        <v>127</v>
      </c>
      <c r="V4" s="73"/>
    </row>
    <row r="5" spans="2:23" ht="21.6" customHeight="1" x14ac:dyDescent="0.45"/>
    <row r="6" spans="2:23" ht="37.799999999999997" x14ac:dyDescent="0.45">
      <c r="D6" s="81">
        <v>4</v>
      </c>
      <c r="E6" s="81" t="s">
        <v>131</v>
      </c>
      <c r="F6" s="81"/>
      <c r="G6" s="81"/>
      <c r="H6" s="81"/>
      <c r="I6" s="81"/>
      <c r="J6" s="81"/>
      <c r="K6" s="81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</row>
    <row r="8" spans="2:23" x14ac:dyDescent="0.45">
      <c r="B8" s="72" t="s">
        <v>121</v>
      </c>
    </row>
    <row r="9" spans="2:23" ht="6" customHeight="1" x14ac:dyDescent="0.45"/>
    <row r="10" spans="2:23" x14ac:dyDescent="0.45">
      <c r="B10" s="72">
        <v>4</v>
      </c>
      <c r="C10" s="72" t="s">
        <v>122</v>
      </c>
    </row>
    <row r="12" spans="2:23" x14ac:dyDescent="0.45">
      <c r="C12" s="72" t="s">
        <v>123</v>
      </c>
      <c r="F12" s="72">
        <v>2000</v>
      </c>
      <c r="G12" s="72" t="s">
        <v>124</v>
      </c>
      <c r="H12" s="72">
        <f>徴収内訳!$E$3</f>
        <v>14</v>
      </c>
      <c r="I12" s="72" t="s">
        <v>117</v>
      </c>
      <c r="J12" s="74">
        <f>F12*H12</f>
        <v>28000</v>
      </c>
      <c r="K12" s="72" t="s">
        <v>125</v>
      </c>
      <c r="V12" s="74"/>
    </row>
    <row r="13" spans="2:23" x14ac:dyDescent="0.45">
      <c r="J13" s="74"/>
      <c r="V13" s="74"/>
    </row>
    <row r="14" spans="2:23" x14ac:dyDescent="0.45">
      <c r="J14" s="74"/>
      <c r="V14" s="74"/>
    </row>
    <row r="15" spans="2:23" x14ac:dyDescent="0.45">
      <c r="J15" s="74"/>
      <c r="V15" s="74"/>
    </row>
    <row r="16" spans="2:23" x14ac:dyDescent="0.45">
      <c r="G16" s="72" t="s">
        <v>108</v>
      </c>
      <c r="J16" s="74">
        <f>SUM(J12:J15)</f>
        <v>28000</v>
      </c>
      <c r="K16" s="72" t="s">
        <v>125</v>
      </c>
      <c r="V16" s="74"/>
    </row>
    <row r="17" spans="2:22" ht="27" thickBot="1" x14ac:dyDescent="0.5"/>
    <row r="18" spans="2:22" ht="18.600000000000001" customHeight="1" x14ac:dyDescent="0.45">
      <c r="J18" s="76" t="s">
        <v>129</v>
      </c>
      <c r="V18" s="80"/>
    </row>
    <row r="19" spans="2:22" ht="65.400000000000006" customHeight="1" thickBot="1" x14ac:dyDescent="0.5">
      <c r="J19" s="77"/>
    </row>
    <row r="20" spans="2:22" ht="27" customHeight="1" x14ac:dyDescent="0.45">
      <c r="F20" s="73" t="s">
        <v>132</v>
      </c>
      <c r="G20" s="73"/>
      <c r="S20" s="73"/>
    </row>
    <row r="21" spans="2:22" ht="27" customHeight="1" x14ac:dyDescent="0.45">
      <c r="G21" s="73"/>
      <c r="S21" s="73"/>
    </row>
    <row r="22" spans="2:22" x14ac:dyDescent="0.45">
      <c r="C22" s="75" t="s">
        <v>133</v>
      </c>
      <c r="F22" s="75" t="s">
        <v>184</v>
      </c>
      <c r="O22" s="75"/>
    </row>
    <row r="23" spans="2:22" x14ac:dyDescent="0.45">
      <c r="G23" s="75" t="s">
        <v>128</v>
      </c>
      <c r="S23" s="75"/>
    </row>
    <row r="25" spans="2:22" x14ac:dyDescent="0.45">
      <c r="C25" s="78" t="s">
        <v>130</v>
      </c>
      <c r="O25" s="78"/>
    </row>
    <row r="29" spans="2:22" ht="28.8" x14ac:dyDescent="0.45">
      <c r="B29" s="79">
        <v>2</v>
      </c>
      <c r="C29" s="79" t="s">
        <v>120</v>
      </c>
      <c r="D29" s="79"/>
      <c r="J29" s="98" t="str">
        <f>J2</f>
        <v>2025.4.20</v>
      </c>
      <c r="N29" s="79"/>
      <c r="O29" s="79"/>
      <c r="P29" s="79"/>
      <c r="V29" s="73"/>
    </row>
    <row r="30" spans="2:22" ht="24" customHeight="1" x14ac:dyDescent="0.45">
      <c r="J30" s="98" t="s">
        <v>126</v>
      </c>
      <c r="V30" s="73"/>
    </row>
    <row r="31" spans="2:22" ht="21.6" customHeight="1" x14ac:dyDescent="0.45">
      <c r="J31" s="98" t="s">
        <v>127</v>
      </c>
      <c r="V31" s="73"/>
    </row>
    <row r="32" spans="2:22" ht="21.6" customHeight="1" x14ac:dyDescent="0.45"/>
    <row r="33" spans="1:23" ht="37.799999999999997" x14ac:dyDescent="0.45">
      <c r="A33" s="81"/>
      <c r="B33" s="81"/>
      <c r="C33" s="81"/>
      <c r="D33" s="81">
        <f>D6</f>
        <v>4</v>
      </c>
      <c r="E33" s="81" t="s">
        <v>131</v>
      </c>
      <c r="F33" s="81"/>
      <c r="G33" s="81"/>
      <c r="H33" s="81"/>
      <c r="I33" s="81"/>
      <c r="J33" s="81"/>
      <c r="K33" s="81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</row>
    <row r="35" spans="1:23" x14ac:dyDescent="0.45">
      <c r="B35" s="72" t="s">
        <v>121</v>
      </c>
    </row>
    <row r="36" spans="1:23" ht="6" customHeight="1" x14ac:dyDescent="0.45"/>
    <row r="37" spans="1:23" x14ac:dyDescent="0.45">
      <c r="B37" s="72">
        <f>D33</f>
        <v>4</v>
      </c>
      <c r="C37" s="72" t="s">
        <v>122</v>
      </c>
    </row>
    <row r="39" spans="1:23" x14ac:dyDescent="0.45">
      <c r="C39" s="72" t="s">
        <v>123</v>
      </c>
      <c r="F39" s="72">
        <f>$F$12</f>
        <v>2000</v>
      </c>
      <c r="G39" s="72" t="s">
        <v>124</v>
      </c>
      <c r="H39" s="72">
        <f>徴収内訳!$F$3</f>
        <v>11</v>
      </c>
      <c r="I39" s="72" t="s">
        <v>117</v>
      </c>
      <c r="J39" s="74">
        <f>F39*H39</f>
        <v>22000</v>
      </c>
      <c r="K39" s="72" t="s">
        <v>125</v>
      </c>
      <c r="V39" s="74"/>
    </row>
    <row r="40" spans="1:23" x14ac:dyDescent="0.45">
      <c r="J40" s="74"/>
      <c r="V40" s="74"/>
    </row>
    <row r="41" spans="1:23" x14ac:dyDescent="0.45">
      <c r="J41" s="74"/>
      <c r="V41" s="74"/>
    </row>
    <row r="42" spans="1:23" x14ac:dyDescent="0.45">
      <c r="J42" s="74"/>
      <c r="V42" s="74"/>
    </row>
    <row r="43" spans="1:23" x14ac:dyDescent="0.45">
      <c r="G43" s="72" t="s">
        <v>108</v>
      </c>
      <c r="J43" s="74">
        <f>SUM(J39:J42)</f>
        <v>22000</v>
      </c>
      <c r="K43" s="72" t="s">
        <v>125</v>
      </c>
      <c r="V43" s="74"/>
    </row>
    <row r="44" spans="1:23" ht="27" thickBot="1" x14ac:dyDescent="0.5"/>
    <row r="45" spans="1:23" ht="18.600000000000001" customHeight="1" x14ac:dyDescent="0.45">
      <c r="J45" s="76" t="s">
        <v>129</v>
      </c>
      <c r="V45" s="80"/>
    </row>
    <row r="46" spans="1:23" ht="65.400000000000006" customHeight="1" thickBot="1" x14ac:dyDescent="0.5">
      <c r="J46" s="77"/>
    </row>
    <row r="47" spans="1:23" ht="27" customHeight="1" x14ac:dyDescent="0.45">
      <c r="F47" s="73" t="s">
        <v>132</v>
      </c>
      <c r="G47" s="73"/>
      <c r="S47" s="73"/>
    </row>
    <row r="48" spans="1:23" ht="27" customHeight="1" x14ac:dyDescent="0.45">
      <c r="G48" s="73"/>
      <c r="S48" s="73"/>
    </row>
    <row r="49" spans="1:23" x14ac:dyDescent="0.45">
      <c r="C49" s="75" t="s">
        <v>133</v>
      </c>
      <c r="F49" s="75" t="str">
        <f>F22</f>
        <v>５月１日（木） １８：３０以降</v>
      </c>
      <c r="O49" s="75"/>
    </row>
    <row r="50" spans="1:23" x14ac:dyDescent="0.45">
      <c r="G50" s="75" t="s">
        <v>128</v>
      </c>
      <c r="S50" s="75"/>
    </row>
    <row r="52" spans="1:23" x14ac:dyDescent="0.45">
      <c r="C52" s="78" t="s">
        <v>130</v>
      </c>
      <c r="O52" s="78"/>
    </row>
    <row r="56" spans="1:23" ht="28.8" x14ac:dyDescent="0.45">
      <c r="B56" s="79">
        <v>3</v>
      </c>
      <c r="C56" s="79" t="s">
        <v>120</v>
      </c>
      <c r="D56" s="79"/>
      <c r="J56" s="98" t="str">
        <f>J2</f>
        <v>2025.4.20</v>
      </c>
      <c r="N56" s="79"/>
      <c r="O56" s="79"/>
      <c r="P56" s="79"/>
      <c r="V56" s="73"/>
    </row>
    <row r="57" spans="1:23" ht="24" customHeight="1" x14ac:dyDescent="0.45">
      <c r="J57" s="98" t="s">
        <v>126</v>
      </c>
      <c r="V57" s="73"/>
    </row>
    <row r="58" spans="1:23" ht="21.6" customHeight="1" x14ac:dyDescent="0.45">
      <c r="J58" s="98" t="s">
        <v>127</v>
      </c>
      <c r="V58" s="73"/>
    </row>
    <row r="59" spans="1:23" ht="21.6" customHeight="1" x14ac:dyDescent="0.45"/>
    <row r="60" spans="1:23" ht="37.799999999999997" x14ac:dyDescent="0.45">
      <c r="A60" s="81"/>
      <c r="B60" s="81"/>
      <c r="C60" s="81"/>
      <c r="D60" s="81">
        <f>D6</f>
        <v>4</v>
      </c>
      <c r="E60" s="81" t="s">
        <v>131</v>
      </c>
      <c r="F60" s="81"/>
      <c r="G60" s="81"/>
      <c r="H60" s="81"/>
      <c r="I60" s="81"/>
      <c r="J60" s="81"/>
      <c r="K60" s="81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</row>
    <row r="62" spans="1:23" x14ac:dyDescent="0.45">
      <c r="B62" s="72" t="s">
        <v>121</v>
      </c>
    </row>
    <row r="63" spans="1:23" ht="6" customHeight="1" x14ac:dyDescent="0.45"/>
    <row r="64" spans="1:23" x14ac:dyDescent="0.45">
      <c r="B64" s="72">
        <f>D60</f>
        <v>4</v>
      </c>
      <c r="C64" s="72" t="s">
        <v>122</v>
      </c>
    </row>
    <row r="66" spans="3:22" x14ac:dyDescent="0.45">
      <c r="C66" s="72" t="s">
        <v>123</v>
      </c>
      <c r="F66" s="72">
        <f>$F$12</f>
        <v>2000</v>
      </c>
      <c r="G66" s="72" t="s">
        <v>124</v>
      </c>
      <c r="H66" s="72">
        <f>徴収内訳!$G$3</f>
        <v>16</v>
      </c>
      <c r="I66" s="72" t="s">
        <v>117</v>
      </c>
      <c r="J66" s="74">
        <f>F66*H66</f>
        <v>32000</v>
      </c>
      <c r="K66" s="72" t="s">
        <v>125</v>
      </c>
      <c r="V66" s="74"/>
    </row>
    <row r="67" spans="3:22" x14ac:dyDescent="0.45">
      <c r="J67" s="74"/>
      <c r="V67" s="74"/>
    </row>
    <row r="68" spans="3:22" x14ac:dyDescent="0.45">
      <c r="J68" s="74"/>
      <c r="V68" s="74"/>
    </row>
    <row r="69" spans="3:22" x14ac:dyDescent="0.45">
      <c r="J69" s="74"/>
      <c r="V69" s="74"/>
    </row>
    <row r="70" spans="3:22" x14ac:dyDescent="0.45">
      <c r="G70" s="72" t="s">
        <v>108</v>
      </c>
      <c r="J70" s="74">
        <f>SUM(J66:J69)</f>
        <v>32000</v>
      </c>
      <c r="K70" s="72" t="s">
        <v>125</v>
      </c>
      <c r="V70" s="74"/>
    </row>
    <row r="71" spans="3:22" ht="27" thickBot="1" x14ac:dyDescent="0.5"/>
    <row r="72" spans="3:22" ht="18.600000000000001" customHeight="1" x14ac:dyDescent="0.45">
      <c r="J72" s="76" t="s">
        <v>129</v>
      </c>
      <c r="V72" s="80"/>
    </row>
    <row r="73" spans="3:22" ht="65.400000000000006" customHeight="1" thickBot="1" x14ac:dyDescent="0.5">
      <c r="J73" s="77"/>
    </row>
    <row r="74" spans="3:22" ht="27" customHeight="1" x14ac:dyDescent="0.45">
      <c r="F74" s="73" t="s">
        <v>132</v>
      </c>
      <c r="G74" s="73"/>
      <c r="S74" s="73"/>
    </row>
    <row r="75" spans="3:22" ht="27" customHeight="1" x14ac:dyDescent="0.45">
      <c r="G75" s="73"/>
      <c r="S75" s="73"/>
    </row>
    <row r="76" spans="3:22" x14ac:dyDescent="0.45">
      <c r="C76" s="75" t="s">
        <v>133</v>
      </c>
      <c r="F76" s="75" t="str">
        <f>F22</f>
        <v>５月１日（木） １８：３０以降</v>
      </c>
      <c r="O76" s="75"/>
    </row>
    <row r="77" spans="3:22" x14ac:dyDescent="0.45">
      <c r="G77" s="75" t="s">
        <v>128</v>
      </c>
      <c r="S77" s="75"/>
    </row>
    <row r="79" spans="3:22" x14ac:dyDescent="0.45">
      <c r="C79" s="78" t="s">
        <v>130</v>
      </c>
      <c r="O79" s="78"/>
    </row>
    <row r="83" spans="1:23" ht="28.8" x14ac:dyDescent="0.45">
      <c r="B83" s="79">
        <v>4</v>
      </c>
      <c r="C83" s="79" t="s">
        <v>120</v>
      </c>
      <c r="D83" s="79"/>
      <c r="J83" s="98" t="str">
        <f>J2</f>
        <v>2025.4.20</v>
      </c>
      <c r="N83" s="79"/>
      <c r="O83" s="79"/>
      <c r="P83" s="79"/>
      <c r="V83" s="73"/>
    </row>
    <row r="84" spans="1:23" ht="24" customHeight="1" x14ac:dyDescent="0.45">
      <c r="J84" s="98" t="s">
        <v>126</v>
      </c>
      <c r="V84" s="73"/>
    </row>
    <row r="85" spans="1:23" ht="21.6" customHeight="1" x14ac:dyDescent="0.45">
      <c r="J85" s="98" t="s">
        <v>127</v>
      </c>
      <c r="V85" s="73"/>
    </row>
    <row r="86" spans="1:23" ht="21.6" customHeight="1" x14ac:dyDescent="0.45"/>
    <row r="87" spans="1:23" ht="37.799999999999997" x14ac:dyDescent="0.45">
      <c r="A87" s="81"/>
      <c r="B87" s="81"/>
      <c r="C87" s="81"/>
      <c r="D87" s="81">
        <f>D6</f>
        <v>4</v>
      </c>
      <c r="E87" s="81" t="s">
        <v>131</v>
      </c>
      <c r="F87" s="81"/>
      <c r="G87" s="81"/>
      <c r="H87" s="81"/>
      <c r="I87" s="81"/>
      <c r="J87" s="81"/>
      <c r="K87" s="81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</row>
    <row r="89" spans="1:23" x14ac:dyDescent="0.45">
      <c r="B89" s="72" t="s">
        <v>121</v>
      </c>
    </row>
    <row r="90" spans="1:23" ht="6" customHeight="1" x14ac:dyDescent="0.45"/>
    <row r="91" spans="1:23" x14ac:dyDescent="0.45">
      <c r="B91" s="72">
        <f>D87</f>
        <v>4</v>
      </c>
      <c r="C91" s="72" t="s">
        <v>122</v>
      </c>
    </row>
    <row r="93" spans="1:23" x14ac:dyDescent="0.45">
      <c r="C93" s="72" t="s">
        <v>123</v>
      </c>
      <c r="F93" s="72">
        <f>$F$12</f>
        <v>2000</v>
      </c>
      <c r="G93" s="72" t="s">
        <v>124</v>
      </c>
      <c r="H93" s="72">
        <f>徴収内訳!$H$3</f>
        <v>12</v>
      </c>
      <c r="I93" s="72" t="s">
        <v>117</v>
      </c>
      <c r="J93" s="74">
        <f>F93*H93</f>
        <v>24000</v>
      </c>
      <c r="K93" s="72" t="s">
        <v>125</v>
      </c>
      <c r="V93" s="74"/>
    </row>
    <row r="94" spans="1:23" x14ac:dyDescent="0.45">
      <c r="J94" s="74"/>
      <c r="V94" s="74"/>
    </row>
    <row r="95" spans="1:23" x14ac:dyDescent="0.45">
      <c r="J95" s="74"/>
      <c r="V95" s="74"/>
    </row>
    <row r="96" spans="1:23" x14ac:dyDescent="0.45">
      <c r="J96" s="74"/>
      <c r="V96" s="74"/>
    </row>
    <row r="97" spans="3:22" x14ac:dyDescent="0.45">
      <c r="G97" s="72" t="s">
        <v>108</v>
      </c>
      <c r="J97" s="74">
        <f>SUM(J93:J96)</f>
        <v>24000</v>
      </c>
      <c r="K97" s="72" t="s">
        <v>125</v>
      </c>
      <c r="V97" s="74"/>
    </row>
    <row r="98" spans="3:22" ht="27" thickBot="1" x14ac:dyDescent="0.5"/>
    <row r="99" spans="3:22" ht="18.600000000000001" customHeight="1" x14ac:dyDescent="0.45">
      <c r="J99" s="76" t="s">
        <v>129</v>
      </c>
      <c r="V99" s="80"/>
    </row>
    <row r="100" spans="3:22" ht="65.400000000000006" customHeight="1" thickBot="1" x14ac:dyDescent="0.5">
      <c r="J100" s="77"/>
    </row>
    <row r="101" spans="3:22" ht="27" customHeight="1" x14ac:dyDescent="0.45">
      <c r="F101" s="73" t="s">
        <v>132</v>
      </c>
      <c r="G101" s="73"/>
      <c r="S101" s="73"/>
    </row>
    <row r="102" spans="3:22" ht="27" customHeight="1" x14ac:dyDescent="0.45">
      <c r="G102" s="73"/>
      <c r="S102" s="73"/>
    </row>
    <row r="103" spans="3:22" x14ac:dyDescent="0.45">
      <c r="C103" s="75" t="s">
        <v>133</v>
      </c>
      <c r="F103" s="75" t="str">
        <f>F22</f>
        <v>５月１日（木） １８：３０以降</v>
      </c>
      <c r="O103" s="75"/>
    </row>
    <row r="104" spans="3:22" x14ac:dyDescent="0.45">
      <c r="G104" s="75" t="s">
        <v>128</v>
      </c>
      <c r="S104" s="75"/>
    </row>
    <row r="106" spans="3:22" x14ac:dyDescent="0.45">
      <c r="C106" s="78" t="s">
        <v>130</v>
      </c>
      <c r="O106" s="78"/>
    </row>
  </sheetData>
  <mergeCells count="4">
    <mergeCell ref="M6:W6"/>
    <mergeCell ref="M33:W33"/>
    <mergeCell ref="M60:W60"/>
    <mergeCell ref="M87:W87"/>
  </mergeCells>
  <phoneticPr fontId="1"/>
  <pageMargins left="0.70866141732283472" right="0.31496062992125984" top="0.74803149606299213" bottom="0.74803149606299213" header="0.31496062992125984" footer="0.31496062992125984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59911-DA43-4F31-9801-71EEA9879F21}">
  <dimension ref="A2:W106"/>
  <sheetViews>
    <sheetView view="pageLayout" topLeftCell="A85" zoomScale="85" zoomScaleNormal="100" zoomScalePageLayoutView="85" workbookViewId="0">
      <selection activeCell="N20" sqref="N20"/>
    </sheetView>
  </sheetViews>
  <sheetFormatPr defaultRowHeight="26.4" x14ac:dyDescent="0.45"/>
  <cols>
    <col min="1" max="1" width="2.59765625" style="72" customWidth="1"/>
    <col min="2" max="2" width="3.5" style="72" customWidth="1"/>
    <col min="3" max="3" width="8.796875" style="72"/>
    <col min="4" max="4" width="5.8984375" style="72" customWidth="1"/>
    <col min="5" max="5" width="13.3984375" style="72" customWidth="1"/>
    <col min="6" max="6" width="10.296875" style="72" customWidth="1"/>
    <col min="7" max="7" width="6.09765625" style="72" customWidth="1"/>
    <col min="8" max="8" width="4.3984375" style="72" customWidth="1"/>
    <col min="9" max="9" width="4.5" style="72" customWidth="1"/>
    <col min="10" max="10" width="13.59765625" style="72" customWidth="1"/>
    <col min="11" max="11" width="10.5" style="72" customWidth="1"/>
    <col min="12" max="12" width="8.796875" style="72"/>
    <col min="13" max="13" width="3.69921875" style="72" customWidth="1"/>
    <col min="14" max="16384" width="8.796875" style="72"/>
  </cols>
  <sheetData>
    <row r="2" spans="2:23" ht="28.8" x14ac:dyDescent="0.45">
      <c r="B2" s="79">
        <v>1</v>
      </c>
      <c r="C2" s="79" t="s">
        <v>120</v>
      </c>
      <c r="D2" s="79"/>
      <c r="J2" s="98" t="s">
        <v>185</v>
      </c>
      <c r="N2" s="79"/>
      <c r="O2" s="79"/>
      <c r="P2" s="79"/>
      <c r="V2" s="73"/>
    </row>
    <row r="3" spans="2:23" ht="24" customHeight="1" x14ac:dyDescent="0.45">
      <c r="J3" s="98" t="s">
        <v>126</v>
      </c>
      <c r="V3" s="73"/>
    </row>
    <row r="4" spans="2:23" ht="21.6" customHeight="1" x14ac:dyDescent="0.45">
      <c r="J4" s="98" t="s">
        <v>127</v>
      </c>
      <c r="V4" s="73"/>
    </row>
    <row r="5" spans="2:23" ht="21.6" customHeight="1" x14ac:dyDescent="0.45"/>
    <row r="6" spans="2:23" ht="37.799999999999997" x14ac:dyDescent="0.45">
      <c r="D6" s="81">
        <v>5</v>
      </c>
      <c r="E6" s="81" t="s">
        <v>131</v>
      </c>
      <c r="F6" s="81"/>
      <c r="G6" s="81"/>
      <c r="H6" s="81"/>
      <c r="I6" s="81"/>
      <c r="J6" s="81"/>
      <c r="K6" s="81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</row>
    <row r="8" spans="2:23" x14ac:dyDescent="0.45">
      <c r="B8" s="72" t="s">
        <v>121</v>
      </c>
    </row>
    <row r="9" spans="2:23" ht="6" customHeight="1" x14ac:dyDescent="0.45"/>
    <row r="10" spans="2:23" x14ac:dyDescent="0.45">
      <c r="B10" s="72">
        <v>5</v>
      </c>
      <c r="C10" s="72" t="s">
        <v>122</v>
      </c>
    </row>
    <row r="12" spans="2:23" x14ac:dyDescent="0.45">
      <c r="C12" s="72" t="s">
        <v>123</v>
      </c>
      <c r="F12" s="72">
        <v>2000</v>
      </c>
      <c r="G12" s="72" t="s">
        <v>124</v>
      </c>
      <c r="H12" s="72">
        <f>徴収内訳!$E$3</f>
        <v>14</v>
      </c>
      <c r="I12" s="72" t="s">
        <v>117</v>
      </c>
      <c r="J12" s="74">
        <f>F12*H12</f>
        <v>28000</v>
      </c>
      <c r="K12" s="72" t="s">
        <v>125</v>
      </c>
      <c r="V12" s="74"/>
    </row>
    <row r="13" spans="2:23" x14ac:dyDescent="0.45">
      <c r="C13" s="72" t="s">
        <v>146</v>
      </c>
      <c r="F13" s="72">
        <v>500</v>
      </c>
      <c r="G13" s="72" t="s">
        <v>124</v>
      </c>
      <c r="H13" s="72">
        <f>徴収内訳!$E$3</f>
        <v>14</v>
      </c>
      <c r="I13" s="72" t="s">
        <v>117</v>
      </c>
      <c r="J13" s="74">
        <f>F13*H13</f>
        <v>7000</v>
      </c>
      <c r="K13" s="72" t="s">
        <v>125</v>
      </c>
      <c r="V13" s="74"/>
    </row>
    <row r="14" spans="2:23" x14ac:dyDescent="0.45">
      <c r="C14" s="72" t="s">
        <v>147</v>
      </c>
      <c r="F14" s="72">
        <v>300</v>
      </c>
      <c r="G14" s="72" t="s">
        <v>124</v>
      </c>
      <c r="H14" s="72">
        <f>徴収内訳!$E$3</f>
        <v>14</v>
      </c>
      <c r="I14" s="72" t="s">
        <v>117</v>
      </c>
      <c r="J14" s="74">
        <f>F14*H14</f>
        <v>4200</v>
      </c>
      <c r="K14" s="72" t="s">
        <v>125</v>
      </c>
      <c r="V14" s="74"/>
    </row>
    <row r="15" spans="2:23" x14ac:dyDescent="0.45">
      <c r="C15" s="72" t="s">
        <v>148</v>
      </c>
      <c r="F15" s="72">
        <v>6500</v>
      </c>
      <c r="G15" s="72" t="s">
        <v>124</v>
      </c>
      <c r="H15" s="72">
        <f>徴収内訳!$E$2</f>
        <v>10</v>
      </c>
      <c r="I15" s="72" t="s">
        <v>117</v>
      </c>
      <c r="J15" s="74">
        <f>F15*H15</f>
        <v>65000</v>
      </c>
      <c r="K15" s="72" t="s">
        <v>125</v>
      </c>
      <c r="V15" s="74"/>
    </row>
    <row r="16" spans="2:23" x14ac:dyDescent="0.45">
      <c r="G16" s="72" t="s">
        <v>108</v>
      </c>
      <c r="J16" s="74">
        <f>SUM(J12:J15)</f>
        <v>104200</v>
      </c>
      <c r="K16" s="72" t="s">
        <v>125</v>
      </c>
      <c r="V16" s="74"/>
    </row>
    <row r="17" spans="2:22" ht="27" thickBot="1" x14ac:dyDescent="0.5"/>
    <row r="18" spans="2:22" ht="18.600000000000001" customHeight="1" x14ac:dyDescent="0.45">
      <c r="J18" s="76" t="s">
        <v>129</v>
      </c>
      <c r="V18" s="80"/>
    </row>
    <row r="19" spans="2:22" ht="65.400000000000006" customHeight="1" thickBot="1" x14ac:dyDescent="0.5">
      <c r="J19" s="77"/>
    </row>
    <row r="20" spans="2:22" ht="27" customHeight="1" x14ac:dyDescent="0.45">
      <c r="F20" s="73" t="s">
        <v>132</v>
      </c>
      <c r="G20" s="73"/>
      <c r="S20" s="73"/>
    </row>
    <row r="21" spans="2:22" ht="27" customHeight="1" x14ac:dyDescent="0.45">
      <c r="G21" s="73"/>
      <c r="S21" s="73"/>
    </row>
    <row r="22" spans="2:22" x14ac:dyDescent="0.45">
      <c r="C22" s="75" t="s">
        <v>133</v>
      </c>
      <c r="F22" s="75" t="s">
        <v>186</v>
      </c>
      <c r="O22" s="75"/>
    </row>
    <row r="23" spans="2:22" x14ac:dyDescent="0.45">
      <c r="G23" s="75" t="s">
        <v>128</v>
      </c>
      <c r="S23" s="75"/>
    </row>
    <row r="25" spans="2:22" x14ac:dyDescent="0.45">
      <c r="C25" s="78" t="s">
        <v>130</v>
      </c>
      <c r="O25" s="78"/>
    </row>
    <row r="29" spans="2:22" ht="28.8" x14ac:dyDescent="0.45">
      <c r="B29" s="79">
        <v>2</v>
      </c>
      <c r="C29" s="79" t="s">
        <v>120</v>
      </c>
      <c r="D29" s="79"/>
      <c r="J29" s="98" t="str">
        <f>J2</f>
        <v>2025.5.20</v>
      </c>
      <c r="N29" s="79"/>
      <c r="O29" s="79"/>
      <c r="P29" s="79"/>
      <c r="V29" s="73"/>
    </row>
    <row r="30" spans="2:22" ht="24" customHeight="1" x14ac:dyDescent="0.45">
      <c r="J30" s="98" t="s">
        <v>126</v>
      </c>
      <c r="V30" s="73"/>
    </row>
    <row r="31" spans="2:22" ht="21.6" customHeight="1" x14ac:dyDescent="0.45">
      <c r="J31" s="98" t="s">
        <v>127</v>
      </c>
      <c r="V31" s="73"/>
    </row>
    <row r="32" spans="2:22" ht="21.6" customHeight="1" x14ac:dyDescent="0.45"/>
    <row r="33" spans="1:23" ht="37.799999999999997" x14ac:dyDescent="0.45">
      <c r="A33" s="81"/>
      <c r="B33" s="81"/>
      <c r="C33" s="81"/>
      <c r="D33" s="81">
        <f>D6</f>
        <v>5</v>
      </c>
      <c r="E33" s="81" t="s">
        <v>131</v>
      </c>
      <c r="F33" s="81"/>
      <c r="G33" s="81"/>
      <c r="H33" s="81"/>
      <c r="I33" s="81"/>
      <c r="J33" s="81"/>
      <c r="K33" s="81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</row>
    <row r="35" spans="1:23" x14ac:dyDescent="0.45">
      <c r="B35" s="72" t="s">
        <v>121</v>
      </c>
    </row>
    <row r="36" spans="1:23" ht="6" customHeight="1" x14ac:dyDescent="0.45"/>
    <row r="37" spans="1:23" x14ac:dyDescent="0.45">
      <c r="B37" s="72">
        <f>D33</f>
        <v>5</v>
      </c>
      <c r="C37" s="72" t="s">
        <v>122</v>
      </c>
    </row>
    <row r="39" spans="1:23" x14ac:dyDescent="0.45">
      <c r="C39" s="72" t="s">
        <v>123</v>
      </c>
      <c r="F39" s="72">
        <f>$F$12</f>
        <v>2000</v>
      </c>
      <c r="G39" s="72" t="s">
        <v>124</v>
      </c>
      <c r="H39" s="72">
        <f>徴収内訳!$F$3</f>
        <v>11</v>
      </c>
      <c r="I39" s="72" t="s">
        <v>117</v>
      </c>
      <c r="J39" s="74">
        <f>F39*H39</f>
        <v>22000</v>
      </c>
      <c r="K39" s="72" t="s">
        <v>125</v>
      </c>
      <c r="V39" s="74"/>
    </row>
    <row r="40" spans="1:23" x14ac:dyDescent="0.45">
      <c r="C40" s="72" t="str">
        <f t="shared" ref="C40:C42" si="0">C13</f>
        <v>・日本赤十字会費</v>
      </c>
      <c r="F40" s="72">
        <f>$F$13</f>
        <v>500</v>
      </c>
      <c r="G40" s="72" t="s">
        <v>124</v>
      </c>
      <c r="H40" s="72">
        <f>徴収内訳!$F$3</f>
        <v>11</v>
      </c>
      <c r="I40" s="72" t="s">
        <v>117</v>
      </c>
      <c r="J40" s="74">
        <f>F40*H40</f>
        <v>5500</v>
      </c>
      <c r="K40" s="72" t="s">
        <v>125</v>
      </c>
      <c r="V40" s="74"/>
    </row>
    <row r="41" spans="1:23" x14ac:dyDescent="0.45">
      <c r="C41" s="72" t="str">
        <f t="shared" si="0"/>
        <v>・緑の羽根募金</v>
      </c>
      <c r="F41" s="72">
        <f>$F$14</f>
        <v>300</v>
      </c>
      <c r="G41" s="72" t="s">
        <v>124</v>
      </c>
      <c r="H41" s="72">
        <f>徴収内訳!$F$3</f>
        <v>11</v>
      </c>
      <c r="I41" s="72" t="s">
        <v>117</v>
      </c>
      <c r="J41" s="74">
        <f>F41*H41</f>
        <v>3300</v>
      </c>
      <c r="K41" s="72" t="s">
        <v>125</v>
      </c>
      <c r="V41" s="74"/>
    </row>
    <row r="42" spans="1:23" x14ac:dyDescent="0.45">
      <c r="C42" s="72" t="str">
        <f t="shared" si="0"/>
        <v>・正法寺維持費（前期）</v>
      </c>
      <c r="F42" s="72">
        <v>6500</v>
      </c>
      <c r="G42" s="72" t="s">
        <v>124</v>
      </c>
      <c r="H42" s="72">
        <f>徴収内訳!$F$2</f>
        <v>11</v>
      </c>
      <c r="I42" s="72" t="s">
        <v>117</v>
      </c>
      <c r="J42" s="74">
        <f>F42*H42</f>
        <v>71500</v>
      </c>
      <c r="K42" s="72" t="s">
        <v>125</v>
      </c>
      <c r="V42" s="74"/>
    </row>
    <row r="43" spans="1:23" x14ac:dyDescent="0.45">
      <c r="G43" s="72" t="s">
        <v>108</v>
      </c>
      <c r="J43" s="74">
        <f>SUM(J39:J42)</f>
        <v>102300</v>
      </c>
      <c r="K43" s="72" t="s">
        <v>125</v>
      </c>
      <c r="V43" s="74"/>
    </row>
    <row r="44" spans="1:23" ht="27" thickBot="1" x14ac:dyDescent="0.5"/>
    <row r="45" spans="1:23" ht="18.600000000000001" customHeight="1" x14ac:dyDescent="0.45">
      <c r="J45" s="76" t="s">
        <v>129</v>
      </c>
      <c r="V45" s="80"/>
    </row>
    <row r="46" spans="1:23" ht="65.400000000000006" customHeight="1" thickBot="1" x14ac:dyDescent="0.5">
      <c r="J46" s="77"/>
    </row>
    <row r="47" spans="1:23" ht="27" customHeight="1" x14ac:dyDescent="0.45">
      <c r="F47" s="73" t="s">
        <v>132</v>
      </c>
      <c r="G47" s="73"/>
      <c r="S47" s="73"/>
    </row>
    <row r="48" spans="1:23" ht="27" customHeight="1" x14ac:dyDescent="0.45">
      <c r="G48" s="73"/>
      <c r="S48" s="73"/>
    </row>
    <row r="49" spans="1:23" x14ac:dyDescent="0.45">
      <c r="C49" s="75" t="s">
        <v>133</v>
      </c>
      <c r="F49" s="75" t="str">
        <f>F22</f>
        <v>５月２９日（木） １８：３０以降</v>
      </c>
      <c r="O49" s="75"/>
    </row>
    <row r="50" spans="1:23" x14ac:dyDescent="0.45">
      <c r="G50" s="75" t="s">
        <v>128</v>
      </c>
      <c r="S50" s="75"/>
    </row>
    <row r="52" spans="1:23" x14ac:dyDescent="0.45">
      <c r="C52" s="78" t="s">
        <v>130</v>
      </c>
      <c r="O52" s="78"/>
    </row>
    <row r="56" spans="1:23" ht="28.8" x14ac:dyDescent="0.45">
      <c r="B56" s="79">
        <v>3</v>
      </c>
      <c r="C56" s="79" t="s">
        <v>120</v>
      </c>
      <c r="D56" s="79"/>
      <c r="J56" s="98" t="str">
        <f>J2</f>
        <v>2025.5.20</v>
      </c>
      <c r="N56" s="79"/>
      <c r="O56" s="79"/>
      <c r="P56" s="79"/>
      <c r="V56" s="73"/>
    </row>
    <row r="57" spans="1:23" ht="24" customHeight="1" x14ac:dyDescent="0.45">
      <c r="J57" s="98" t="s">
        <v>126</v>
      </c>
      <c r="V57" s="73"/>
    </row>
    <row r="58" spans="1:23" ht="21.6" customHeight="1" x14ac:dyDescent="0.45">
      <c r="J58" s="98" t="s">
        <v>127</v>
      </c>
      <c r="V58" s="73"/>
    </row>
    <row r="59" spans="1:23" ht="21.6" customHeight="1" x14ac:dyDescent="0.45"/>
    <row r="60" spans="1:23" ht="37.799999999999997" x14ac:dyDescent="0.45">
      <c r="A60" s="81"/>
      <c r="B60" s="81"/>
      <c r="C60" s="81"/>
      <c r="D60" s="81">
        <f>D6</f>
        <v>5</v>
      </c>
      <c r="E60" s="81" t="s">
        <v>131</v>
      </c>
      <c r="F60" s="81"/>
      <c r="G60" s="81"/>
      <c r="H60" s="81"/>
      <c r="I60" s="81"/>
      <c r="J60" s="81"/>
      <c r="K60" s="81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</row>
    <row r="62" spans="1:23" x14ac:dyDescent="0.45">
      <c r="B62" s="72" t="s">
        <v>121</v>
      </c>
    </row>
    <row r="63" spans="1:23" ht="6" customHeight="1" x14ac:dyDescent="0.45"/>
    <row r="64" spans="1:23" x14ac:dyDescent="0.45">
      <c r="B64" s="72">
        <f>D60</f>
        <v>5</v>
      </c>
      <c r="C64" s="72" t="s">
        <v>122</v>
      </c>
    </row>
    <row r="66" spans="3:22" x14ac:dyDescent="0.45">
      <c r="C66" s="72" t="s">
        <v>123</v>
      </c>
      <c r="F66" s="72">
        <f>$F$12</f>
        <v>2000</v>
      </c>
      <c r="G66" s="72" t="s">
        <v>124</v>
      </c>
      <c r="H66" s="72">
        <f>徴収内訳!$G$3</f>
        <v>16</v>
      </c>
      <c r="I66" s="72" t="s">
        <v>117</v>
      </c>
      <c r="J66" s="74">
        <f>F66*H66</f>
        <v>32000</v>
      </c>
      <c r="K66" s="72" t="s">
        <v>125</v>
      </c>
      <c r="V66" s="74"/>
    </row>
    <row r="67" spans="3:22" x14ac:dyDescent="0.45">
      <c r="C67" s="72" t="str">
        <f t="shared" ref="C67:C69" si="1">C13</f>
        <v>・日本赤十字会費</v>
      </c>
      <c r="F67" s="72">
        <f>$F$13</f>
        <v>500</v>
      </c>
      <c r="G67" s="72" t="s">
        <v>124</v>
      </c>
      <c r="H67" s="72">
        <f>徴収内訳!$G$3</f>
        <v>16</v>
      </c>
      <c r="I67" s="72" t="s">
        <v>117</v>
      </c>
      <c r="J67" s="74">
        <f>F67*H67</f>
        <v>8000</v>
      </c>
      <c r="K67" s="72" t="s">
        <v>125</v>
      </c>
      <c r="V67" s="74"/>
    </row>
    <row r="68" spans="3:22" x14ac:dyDescent="0.45">
      <c r="C68" s="72" t="str">
        <f t="shared" si="1"/>
        <v>・緑の羽根募金</v>
      </c>
      <c r="F68" s="72">
        <f>$F$14</f>
        <v>300</v>
      </c>
      <c r="G68" s="72" t="s">
        <v>124</v>
      </c>
      <c r="H68" s="72">
        <f>徴収内訳!$G$3</f>
        <v>16</v>
      </c>
      <c r="I68" s="72" t="s">
        <v>117</v>
      </c>
      <c r="J68" s="74">
        <f>F68*H68</f>
        <v>4800</v>
      </c>
      <c r="K68" s="72" t="s">
        <v>125</v>
      </c>
      <c r="V68" s="74"/>
    </row>
    <row r="69" spans="3:22" x14ac:dyDescent="0.45">
      <c r="C69" s="72" t="str">
        <f t="shared" si="1"/>
        <v>・正法寺維持費（前期）</v>
      </c>
      <c r="F69" s="72">
        <v>6500</v>
      </c>
      <c r="G69" s="72" t="s">
        <v>124</v>
      </c>
      <c r="H69" s="72">
        <f>徴収内訳!$G$2</f>
        <v>14</v>
      </c>
      <c r="I69" s="72" t="s">
        <v>117</v>
      </c>
      <c r="J69" s="74">
        <f>F69*H69</f>
        <v>91000</v>
      </c>
      <c r="K69" s="72" t="s">
        <v>125</v>
      </c>
      <c r="V69" s="74"/>
    </row>
    <row r="70" spans="3:22" x14ac:dyDescent="0.45">
      <c r="G70" s="72" t="s">
        <v>108</v>
      </c>
      <c r="J70" s="74">
        <f>SUM(J66:J69)</f>
        <v>135800</v>
      </c>
      <c r="K70" s="72" t="s">
        <v>125</v>
      </c>
      <c r="V70" s="74"/>
    </row>
    <row r="71" spans="3:22" ht="27" thickBot="1" x14ac:dyDescent="0.5"/>
    <row r="72" spans="3:22" ht="18.600000000000001" customHeight="1" x14ac:dyDescent="0.45">
      <c r="J72" s="76" t="s">
        <v>129</v>
      </c>
      <c r="V72" s="80"/>
    </row>
    <row r="73" spans="3:22" ht="65.400000000000006" customHeight="1" thickBot="1" x14ac:dyDescent="0.5">
      <c r="J73" s="77"/>
    </row>
    <row r="74" spans="3:22" ht="27" customHeight="1" x14ac:dyDescent="0.45">
      <c r="F74" s="73" t="s">
        <v>132</v>
      </c>
      <c r="G74" s="73"/>
      <c r="S74" s="73"/>
    </row>
    <row r="75" spans="3:22" ht="27" customHeight="1" x14ac:dyDescent="0.45">
      <c r="G75" s="73"/>
      <c r="S75" s="73"/>
    </row>
    <row r="76" spans="3:22" x14ac:dyDescent="0.45">
      <c r="C76" s="75" t="s">
        <v>133</v>
      </c>
      <c r="F76" s="75" t="str">
        <f>F22</f>
        <v>５月２９日（木） １８：３０以降</v>
      </c>
      <c r="O76" s="75"/>
    </row>
    <row r="77" spans="3:22" x14ac:dyDescent="0.45">
      <c r="G77" s="75" t="s">
        <v>128</v>
      </c>
      <c r="S77" s="75"/>
    </row>
    <row r="79" spans="3:22" x14ac:dyDescent="0.45">
      <c r="C79" s="78" t="s">
        <v>130</v>
      </c>
      <c r="O79" s="78"/>
    </row>
    <row r="83" spans="1:23" ht="28.8" x14ac:dyDescent="0.45">
      <c r="B83" s="79">
        <v>4</v>
      </c>
      <c r="C83" s="79" t="s">
        <v>120</v>
      </c>
      <c r="D83" s="79"/>
      <c r="J83" s="98" t="str">
        <f>J2</f>
        <v>2025.5.20</v>
      </c>
      <c r="N83" s="79"/>
      <c r="O83" s="79"/>
      <c r="P83" s="79"/>
      <c r="V83" s="73"/>
    </row>
    <row r="84" spans="1:23" ht="24" customHeight="1" x14ac:dyDescent="0.45">
      <c r="J84" s="98" t="s">
        <v>126</v>
      </c>
      <c r="V84" s="73"/>
    </row>
    <row r="85" spans="1:23" ht="21.6" customHeight="1" x14ac:dyDescent="0.45">
      <c r="J85" s="98" t="s">
        <v>127</v>
      </c>
      <c r="V85" s="73"/>
    </row>
    <row r="86" spans="1:23" ht="21.6" customHeight="1" x14ac:dyDescent="0.45"/>
    <row r="87" spans="1:23" ht="37.799999999999997" x14ac:dyDescent="0.45">
      <c r="A87" s="81"/>
      <c r="B87" s="81"/>
      <c r="C87" s="81"/>
      <c r="D87" s="81">
        <f>D6</f>
        <v>5</v>
      </c>
      <c r="E87" s="81" t="s">
        <v>131</v>
      </c>
      <c r="F87" s="81"/>
      <c r="G87" s="81"/>
      <c r="H87" s="81"/>
      <c r="I87" s="81"/>
      <c r="J87" s="81"/>
      <c r="K87" s="81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</row>
    <row r="89" spans="1:23" x14ac:dyDescent="0.45">
      <c r="B89" s="72" t="s">
        <v>121</v>
      </c>
    </row>
    <row r="90" spans="1:23" ht="6" customHeight="1" x14ac:dyDescent="0.45"/>
    <row r="91" spans="1:23" x14ac:dyDescent="0.45">
      <c r="B91" s="72">
        <f>D87</f>
        <v>5</v>
      </c>
      <c r="C91" s="72" t="s">
        <v>122</v>
      </c>
    </row>
    <row r="93" spans="1:23" x14ac:dyDescent="0.45">
      <c r="C93" s="72" t="s">
        <v>123</v>
      </c>
      <c r="F93" s="72">
        <f>$F$12</f>
        <v>2000</v>
      </c>
      <c r="G93" s="72" t="s">
        <v>124</v>
      </c>
      <c r="H93" s="72">
        <f>徴収内訳!$H$3</f>
        <v>12</v>
      </c>
      <c r="I93" s="72" t="s">
        <v>117</v>
      </c>
      <c r="J93" s="74">
        <f>F93*H93</f>
        <v>24000</v>
      </c>
      <c r="K93" s="72" t="s">
        <v>125</v>
      </c>
      <c r="V93" s="74"/>
    </row>
    <row r="94" spans="1:23" x14ac:dyDescent="0.45">
      <c r="C94" s="72" t="str">
        <f t="shared" ref="C94:C96" si="2">C13</f>
        <v>・日本赤十字会費</v>
      </c>
      <c r="F94" s="72">
        <f>$F$13</f>
        <v>500</v>
      </c>
      <c r="G94" s="72" t="s">
        <v>124</v>
      </c>
      <c r="H94" s="72">
        <f>徴収内訳!$H$3</f>
        <v>12</v>
      </c>
      <c r="I94" s="72" t="s">
        <v>117</v>
      </c>
      <c r="J94" s="74">
        <f>F94*H94</f>
        <v>6000</v>
      </c>
      <c r="K94" s="72" t="s">
        <v>125</v>
      </c>
      <c r="V94" s="74"/>
    </row>
    <row r="95" spans="1:23" x14ac:dyDescent="0.45">
      <c r="C95" s="72" t="str">
        <f t="shared" si="2"/>
        <v>・緑の羽根募金</v>
      </c>
      <c r="F95" s="72">
        <f>$F$14</f>
        <v>300</v>
      </c>
      <c r="G95" s="72" t="s">
        <v>124</v>
      </c>
      <c r="H95" s="72">
        <f>徴収内訳!$H$3</f>
        <v>12</v>
      </c>
      <c r="I95" s="72" t="s">
        <v>117</v>
      </c>
      <c r="J95" s="74">
        <f>F95*H95</f>
        <v>3600</v>
      </c>
      <c r="K95" s="72" t="s">
        <v>125</v>
      </c>
      <c r="V95" s="74"/>
    </row>
    <row r="96" spans="1:23" x14ac:dyDescent="0.45">
      <c r="C96" s="72" t="str">
        <f t="shared" si="2"/>
        <v>・正法寺維持費（前期）</v>
      </c>
      <c r="F96" s="72">
        <v>6500</v>
      </c>
      <c r="G96" s="72" t="s">
        <v>124</v>
      </c>
      <c r="H96" s="72">
        <f>徴収内訳!$H$2</f>
        <v>12</v>
      </c>
      <c r="I96" s="72" t="s">
        <v>117</v>
      </c>
      <c r="J96" s="74">
        <f>F96*H96</f>
        <v>78000</v>
      </c>
      <c r="K96" s="72" t="s">
        <v>125</v>
      </c>
      <c r="V96" s="74"/>
    </row>
    <row r="97" spans="3:22" x14ac:dyDescent="0.45">
      <c r="G97" s="72" t="s">
        <v>108</v>
      </c>
      <c r="J97" s="74">
        <f>SUM(J93:J96)</f>
        <v>111600</v>
      </c>
      <c r="K97" s="72" t="s">
        <v>125</v>
      </c>
      <c r="V97" s="74"/>
    </row>
    <row r="98" spans="3:22" ht="27" thickBot="1" x14ac:dyDescent="0.5"/>
    <row r="99" spans="3:22" ht="18.600000000000001" customHeight="1" x14ac:dyDescent="0.45">
      <c r="J99" s="76" t="s">
        <v>129</v>
      </c>
      <c r="V99" s="80"/>
    </row>
    <row r="100" spans="3:22" ht="65.400000000000006" customHeight="1" thickBot="1" x14ac:dyDescent="0.5">
      <c r="J100" s="77"/>
    </row>
    <row r="101" spans="3:22" ht="27" customHeight="1" x14ac:dyDescent="0.45">
      <c r="F101" s="73" t="s">
        <v>132</v>
      </c>
      <c r="G101" s="73"/>
      <c r="S101" s="73"/>
    </row>
    <row r="102" spans="3:22" ht="27" customHeight="1" x14ac:dyDescent="0.45">
      <c r="G102" s="73"/>
      <c r="S102" s="73"/>
    </row>
    <row r="103" spans="3:22" x14ac:dyDescent="0.45">
      <c r="C103" s="75" t="s">
        <v>133</v>
      </c>
      <c r="F103" s="75" t="str">
        <f>F22</f>
        <v>５月２９日（木） １８：３０以降</v>
      </c>
      <c r="O103" s="75"/>
    </row>
    <row r="104" spans="3:22" x14ac:dyDescent="0.45">
      <c r="G104" s="75" t="s">
        <v>128</v>
      </c>
      <c r="S104" s="75"/>
    </row>
    <row r="106" spans="3:22" x14ac:dyDescent="0.45">
      <c r="C106" s="78" t="s">
        <v>130</v>
      </c>
      <c r="O106" s="78"/>
    </row>
  </sheetData>
  <mergeCells count="4">
    <mergeCell ref="M87:W87"/>
    <mergeCell ref="M6:W6"/>
    <mergeCell ref="M33:W33"/>
    <mergeCell ref="M60:W60"/>
  </mergeCells>
  <phoneticPr fontId="1"/>
  <pageMargins left="0.70866141732283472" right="0.31496062992125984" top="0.74803149606299213" bottom="0.74803149606299213" header="0.31496062992125984" footer="0.31496062992125984"/>
  <pageSetup paperSize="9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ABAD6-D038-4973-8E99-78BD853E19A3}">
  <dimension ref="A2:W105"/>
  <sheetViews>
    <sheetView tabSelected="1" view="pageLayout" zoomScale="86" zoomScaleNormal="100" zoomScaleSheetLayoutView="85" zoomScalePageLayoutView="86" workbookViewId="0">
      <selection activeCell="P10" sqref="P10"/>
    </sheetView>
  </sheetViews>
  <sheetFormatPr defaultRowHeight="26.4" x14ac:dyDescent="0.45"/>
  <cols>
    <col min="1" max="1" width="2.59765625" style="72" customWidth="1"/>
    <col min="2" max="2" width="2.19921875" style="72" customWidth="1"/>
    <col min="3" max="3" width="8.796875" style="72"/>
    <col min="4" max="4" width="5.8984375" style="72" customWidth="1"/>
    <col min="5" max="5" width="15.796875" style="72" customWidth="1"/>
    <col min="6" max="6" width="8.59765625" style="72" customWidth="1"/>
    <col min="7" max="7" width="6.09765625" style="72" customWidth="1"/>
    <col min="8" max="8" width="4.3984375" style="72" customWidth="1"/>
    <col min="9" max="9" width="4.5" style="72" customWidth="1"/>
    <col min="10" max="10" width="14.5" style="72" customWidth="1"/>
    <col min="11" max="11" width="10.5" style="72" customWidth="1"/>
    <col min="12" max="12" width="8.796875" style="72"/>
    <col min="13" max="13" width="3.69921875" style="72" customWidth="1"/>
    <col min="14" max="16384" width="8.796875" style="72"/>
  </cols>
  <sheetData>
    <row r="2" spans="2:23" ht="28.8" x14ac:dyDescent="0.45">
      <c r="B2" s="79">
        <v>1</v>
      </c>
      <c r="C2" s="79" t="s">
        <v>120</v>
      </c>
      <c r="D2" s="79"/>
      <c r="J2" s="98" t="s">
        <v>189</v>
      </c>
      <c r="N2" s="79"/>
      <c r="O2" s="79"/>
      <c r="P2" s="79"/>
      <c r="V2" s="73"/>
    </row>
    <row r="3" spans="2:23" ht="24" customHeight="1" x14ac:dyDescent="0.45">
      <c r="J3" s="98" t="s">
        <v>126</v>
      </c>
      <c r="V3" s="73"/>
    </row>
    <row r="4" spans="2:23" ht="21.6" customHeight="1" x14ac:dyDescent="0.45">
      <c r="J4" s="98" t="s">
        <v>127</v>
      </c>
      <c r="V4" s="73"/>
    </row>
    <row r="5" spans="2:23" ht="21.6" customHeight="1" x14ac:dyDescent="0.45"/>
    <row r="6" spans="2:23" ht="37.799999999999997" x14ac:dyDescent="0.45">
      <c r="D6" s="81">
        <v>6</v>
      </c>
      <c r="E6" s="81" t="s">
        <v>131</v>
      </c>
      <c r="F6" s="81"/>
      <c r="G6" s="81"/>
      <c r="H6" s="81"/>
      <c r="I6" s="81"/>
      <c r="J6" s="81"/>
      <c r="K6" s="81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</row>
    <row r="8" spans="2:23" x14ac:dyDescent="0.45">
      <c r="B8" s="72" t="s">
        <v>121</v>
      </c>
    </row>
    <row r="9" spans="2:23" ht="6" customHeight="1" x14ac:dyDescent="0.45"/>
    <row r="10" spans="2:23" x14ac:dyDescent="0.45">
      <c r="B10" s="72">
        <v>6</v>
      </c>
      <c r="C10" s="72" t="s">
        <v>122</v>
      </c>
    </row>
    <row r="12" spans="2:23" x14ac:dyDescent="0.45">
      <c r="C12" s="72" t="s">
        <v>123</v>
      </c>
      <c r="F12" s="72">
        <v>2000</v>
      </c>
      <c r="G12" s="72" t="s">
        <v>124</v>
      </c>
      <c r="H12" s="72">
        <f>徴収内訳!$E$3</f>
        <v>14</v>
      </c>
      <c r="I12" s="72" t="s">
        <v>117</v>
      </c>
      <c r="J12" s="74">
        <f>F12*H12</f>
        <v>28000</v>
      </c>
      <c r="K12" s="72" t="s">
        <v>125</v>
      </c>
      <c r="V12" s="74"/>
    </row>
    <row r="13" spans="2:23" x14ac:dyDescent="0.45">
      <c r="C13" s="99" t="s">
        <v>152</v>
      </c>
      <c r="F13" s="72">
        <v>2800</v>
      </c>
      <c r="G13" s="72" t="s">
        <v>124</v>
      </c>
      <c r="H13" s="72">
        <f>徴収内訳!$E$1</f>
        <v>7</v>
      </c>
      <c r="I13" s="72" t="s">
        <v>117</v>
      </c>
      <c r="J13" s="74">
        <f>F13*H13</f>
        <v>19600</v>
      </c>
      <c r="K13" s="72" t="s">
        <v>125</v>
      </c>
      <c r="V13" s="74"/>
    </row>
    <row r="14" spans="2:23" x14ac:dyDescent="0.45">
      <c r="C14" s="99" t="s">
        <v>154</v>
      </c>
      <c r="F14" s="72">
        <v>100</v>
      </c>
      <c r="G14" s="72" t="s">
        <v>124</v>
      </c>
      <c r="H14" s="72">
        <v>14</v>
      </c>
      <c r="I14" s="72" t="s">
        <v>117</v>
      </c>
      <c r="J14" s="74">
        <f>F14*H14</f>
        <v>1400</v>
      </c>
      <c r="K14" s="72" t="s">
        <v>125</v>
      </c>
      <c r="V14" s="74"/>
    </row>
    <row r="15" spans="2:23" x14ac:dyDescent="0.45">
      <c r="G15" s="72" t="s">
        <v>108</v>
      </c>
      <c r="J15" s="74">
        <f>SUM(J12:J14)</f>
        <v>49000</v>
      </c>
      <c r="K15" s="72" t="s">
        <v>125</v>
      </c>
      <c r="V15" s="74"/>
    </row>
    <row r="16" spans="2:23" ht="27" thickBot="1" x14ac:dyDescent="0.5"/>
    <row r="17" spans="2:22" ht="18.600000000000001" customHeight="1" x14ac:dyDescent="0.45">
      <c r="J17" s="76" t="s">
        <v>129</v>
      </c>
      <c r="V17" s="80"/>
    </row>
    <row r="18" spans="2:22" ht="65.400000000000006" customHeight="1" thickBot="1" x14ac:dyDescent="0.5">
      <c r="J18" s="77"/>
    </row>
    <row r="19" spans="2:22" ht="27" customHeight="1" x14ac:dyDescent="0.45">
      <c r="F19" s="73" t="s">
        <v>132</v>
      </c>
      <c r="G19" s="73"/>
      <c r="S19" s="73"/>
    </row>
    <row r="20" spans="2:22" ht="27" customHeight="1" x14ac:dyDescent="0.45">
      <c r="G20" s="73"/>
      <c r="S20" s="73"/>
    </row>
    <row r="21" spans="2:22" x14ac:dyDescent="0.45">
      <c r="C21" s="75" t="s">
        <v>133</v>
      </c>
      <c r="F21" s="75" t="s">
        <v>190</v>
      </c>
      <c r="O21" s="75"/>
    </row>
    <row r="22" spans="2:22" x14ac:dyDescent="0.45">
      <c r="G22" s="75" t="s">
        <v>128</v>
      </c>
      <c r="S22" s="75"/>
    </row>
    <row r="24" spans="2:22" x14ac:dyDescent="0.45">
      <c r="C24" s="78" t="s">
        <v>130</v>
      </c>
      <c r="O24" s="78"/>
    </row>
    <row r="29" spans="2:22" ht="28.8" x14ac:dyDescent="0.45">
      <c r="B29" s="79">
        <v>2</v>
      </c>
      <c r="C29" s="79" t="s">
        <v>120</v>
      </c>
      <c r="D29" s="79"/>
      <c r="J29" s="98" t="str">
        <f>J2</f>
        <v>2025.6.20</v>
      </c>
      <c r="N29" s="79"/>
      <c r="O29" s="79"/>
      <c r="P29" s="79"/>
      <c r="V29" s="73"/>
    </row>
    <row r="30" spans="2:22" ht="24" customHeight="1" x14ac:dyDescent="0.45">
      <c r="J30" s="98" t="s">
        <v>126</v>
      </c>
      <c r="V30" s="73"/>
    </row>
    <row r="31" spans="2:22" ht="21.6" customHeight="1" x14ac:dyDescent="0.45">
      <c r="J31" s="98" t="s">
        <v>127</v>
      </c>
      <c r="V31" s="73"/>
    </row>
    <row r="32" spans="2:22" ht="21.6" customHeight="1" x14ac:dyDescent="0.45"/>
    <row r="33" spans="1:23" ht="37.799999999999997" x14ac:dyDescent="0.45">
      <c r="A33" s="81"/>
      <c r="B33" s="81"/>
      <c r="C33" s="81"/>
      <c r="D33" s="81">
        <f>D6</f>
        <v>6</v>
      </c>
      <c r="E33" s="81" t="s">
        <v>131</v>
      </c>
      <c r="F33" s="81"/>
      <c r="G33" s="81"/>
      <c r="H33" s="81"/>
      <c r="I33" s="81"/>
      <c r="J33" s="81"/>
      <c r="K33" s="81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</row>
    <row r="35" spans="1:23" x14ac:dyDescent="0.45">
      <c r="B35" s="72" t="s">
        <v>121</v>
      </c>
    </row>
    <row r="36" spans="1:23" ht="6" customHeight="1" x14ac:dyDescent="0.45"/>
    <row r="37" spans="1:23" x14ac:dyDescent="0.45">
      <c r="B37" s="72">
        <f>D33</f>
        <v>6</v>
      </c>
      <c r="C37" s="72" t="s">
        <v>122</v>
      </c>
    </row>
    <row r="39" spans="1:23" x14ac:dyDescent="0.45">
      <c r="C39" s="72" t="s">
        <v>123</v>
      </c>
      <c r="F39" s="72">
        <f>$F$12</f>
        <v>2000</v>
      </c>
      <c r="G39" s="72" t="s">
        <v>124</v>
      </c>
      <c r="H39" s="72">
        <f>徴収内訳!$F$3</f>
        <v>11</v>
      </c>
      <c r="I39" s="72" t="s">
        <v>117</v>
      </c>
      <c r="J39" s="74">
        <f>F39*H39</f>
        <v>22000</v>
      </c>
      <c r="K39" s="72" t="s">
        <v>125</v>
      </c>
      <c r="V39" s="74"/>
    </row>
    <row r="40" spans="1:23" x14ac:dyDescent="0.45">
      <c r="C40" s="72" t="str">
        <f t="shared" ref="C40:C41" si="0">C13</f>
        <v>・八坂神社維持費（前期）</v>
      </c>
      <c r="F40" s="72">
        <v>2800</v>
      </c>
      <c r="G40" s="72" t="s">
        <v>124</v>
      </c>
      <c r="H40" s="72">
        <f>徴収内訳!$F$1</f>
        <v>11</v>
      </c>
      <c r="I40" s="72" t="s">
        <v>117</v>
      </c>
      <c r="J40" s="74">
        <f>F40*H40</f>
        <v>30800</v>
      </c>
      <c r="K40" s="72" t="s">
        <v>125</v>
      </c>
      <c r="V40" s="74"/>
    </row>
    <row r="41" spans="1:23" x14ac:dyDescent="0.45">
      <c r="C41" s="72" t="str">
        <f t="shared" si="0"/>
        <v>・愛宕宮火難除け祈願祭</v>
      </c>
      <c r="F41" s="72">
        <v>100</v>
      </c>
      <c r="G41" s="72" t="s">
        <v>124</v>
      </c>
      <c r="H41" s="72">
        <f>徴収内訳!$F$1</f>
        <v>11</v>
      </c>
      <c r="I41" s="72" t="s">
        <v>117</v>
      </c>
      <c r="J41" s="74">
        <f>F41*H41</f>
        <v>1100</v>
      </c>
      <c r="K41" s="72" t="s">
        <v>125</v>
      </c>
      <c r="V41" s="74"/>
    </row>
    <row r="42" spans="1:23" x14ac:dyDescent="0.45">
      <c r="G42" s="72" t="s">
        <v>108</v>
      </c>
      <c r="J42" s="74">
        <f>SUM(J39:J41)</f>
        <v>53900</v>
      </c>
      <c r="K42" s="72" t="s">
        <v>125</v>
      </c>
      <c r="V42" s="74"/>
    </row>
    <row r="43" spans="1:23" ht="27" thickBot="1" x14ac:dyDescent="0.5"/>
    <row r="44" spans="1:23" ht="18.600000000000001" customHeight="1" x14ac:dyDescent="0.45">
      <c r="J44" s="76" t="s">
        <v>129</v>
      </c>
      <c r="V44" s="80"/>
    </row>
    <row r="45" spans="1:23" ht="65.400000000000006" customHeight="1" thickBot="1" x14ac:dyDescent="0.5">
      <c r="J45" s="77"/>
    </row>
    <row r="46" spans="1:23" ht="27" customHeight="1" x14ac:dyDescent="0.45">
      <c r="F46" s="73" t="s">
        <v>132</v>
      </c>
      <c r="G46" s="73"/>
      <c r="S46" s="73"/>
    </row>
    <row r="47" spans="1:23" ht="27" customHeight="1" x14ac:dyDescent="0.45">
      <c r="G47" s="73"/>
      <c r="S47" s="73"/>
    </row>
    <row r="48" spans="1:23" x14ac:dyDescent="0.45">
      <c r="C48" s="75" t="s">
        <v>133</v>
      </c>
      <c r="F48" s="75" t="str">
        <f>F21</f>
        <v>７月３日（木） １８：３０以降</v>
      </c>
      <c r="O48" s="75"/>
    </row>
    <row r="49" spans="1:23" x14ac:dyDescent="0.45">
      <c r="G49" s="75" t="s">
        <v>128</v>
      </c>
      <c r="S49" s="75"/>
    </row>
    <row r="51" spans="1:23" x14ac:dyDescent="0.45">
      <c r="C51" s="78" t="s">
        <v>130</v>
      </c>
      <c r="O51" s="78"/>
    </row>
    <row r="56" spans="1:23" ht="28.8" x14ac:dyDescent="0.45">
      <c r="B56" s="79">
        <v>3</v>
      </c>
      <c r="C56" s="79" t="s">
        <v>120</v>
      </c>
      <c r="D56" s="79"/>
      <c r="J56" s="98" t="str">
        <f>J2</f>
        <v>2025.6.20</v>
      </c>
      <c r="N56" s="79"/>
      <c r="O56" s="79"/>
      <c r="P56" s="79"/>
      <c r="V56" s="73"/>
    </row>
    <row r="57" spans="1:23" ht="24" customHeight="1" x14ac:dyDescent="0.45">
      <c r="J57" s="98" t="s">
        <v>126</v>
      </c>
      <c r="V57" s="73"/>
    </row>
    <row r="58" spans="1:23" ht="21.6" customHeight="1" x14ac:dyDescent="0.45">
      <c r="J58" s="98" t="s">
        <v>127</v>
      </c>
      <c r="V58" s="73"/>
    </row>
    <row r="59" spans="1:23" ht="21.6" customHeight="1" x14ac:dyDescent="0.45"/>
    <row r="60" spans="1:23" ht="37.799999999999997" x14ac:dyDescent="0.45">
      <c r="A60" s="81"/>
      <c r="B60" s="81"/>
      <c r="C60" s="81"/>
      <c r="D60" s="81">
        <f>D6</f>
        <v>6</v>
      </c>
      <c r="E60" s="81" t="s">
        <v>131</v>
      </c>
      <c r="F60" s="81"/>
      <c r="G60" s="81"/>
      <c r="H60" s="81"/>
      <c r="I60" s="81"/>
      <c r="J60" s="81"/>
      <c r="K60" s="81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</row>
    <row r="62" spans="1:23" x14ac:dyDescent="0.45">
      <c r="B62" s="72" t="s">
        <v>121</v>
      </c>
    </row>
    <row r="63" spans="1:23" ht="6" customHeight="1" x14ac:dyDescent="0.45"/>
    <row r="64" spans="1:23" x14ac:dyDescent="0.45">
      <c r="B64" s="72">
        <f>D60</f>
        <v>6</v>
      </c>
      <c r="C64" s="72" t="s">
        <v>122</v>
      </c>
    </row>
    <row r="66" spans="3:22" x14ac:dyDescent="0.45">
      <c r="C66" s="72" t="s">
        <v>123</v>
      </c>
      <c r="F66" s="72">
        <f>$F$12</f>
        <v>2000</v>
      </c>
      <c r="G66" s="72" t="s">
        <v>124</v>
      </c>
      <c r="H66" s="72">
        <f>徴収内訳!$G$3</f>
        <v>16</v>
      </c>
      <c r="I66" s="72" t="s">
        <v>117</v>
      </c>
      <c r="J66" s="74">
        <f>F66*H66</f>
        <v>32000</v>
      </c>
      <c r="K66" s="72" t="s">
        <v>125</v>
      </c>
      <c r="V66" s="74"/>
    </row>
    <row r="67" spans="3:22" x14ac:dyDescent="0.45">
      <c r="C67" s="72" t="str">
        <f t="shared" ref="C67:C68" si="1">C13</f>
        <v>・八坂神社維持費（前期）</v>
      </c>
      <c r="F67" s="72">
        <v>2800</v>
      </c>
      <c r="G67" s="72" t="s">
        <v>124</v>
      </c>
      <c r="H67" s="72">
        <f>徴収内訳!$G$1</f>
        <v>15</v>
      </c>
      <c r="I67" s="72" t="s">
        <v>117</v>
      </c>
      <c r="J67" s="74">
        <f>F67*H67</f>
        <v>42000</v>
      </c>
      <c r="K67" s="72" t="s">
        <v>125</v>
      </c>
      <c r="V67" s="74"/>
    </row>
    <row r="68" spans="3:22" x14ac:dyDescent="0.45">
      <c r="C68" s="72" t="str">
        <f t="shared" si="1"/>
        <v>・愛宕宮火難除け祈願祭</v>
      </c>
      <c r="F68" s="72">
        <v>100</v>
      </c>
      <c r="G68" s="72" t="s">
        <v>124</v>
      </c>
      <c r="H68" s="72">
        <v>16</v>
      </c>
      <c r="I68" s="72" t="s">
        <v>117</v>
      </c>
      <c r="J68" s="74">
        <f>F68*H68</f>
        <v>1600</v>
      </c>
      <c r="K68" s="72" t="s">
        <v>125</v>
      </c>
      <c r="V68" s="74"/>
    </row>
    <row r="69" spans="3:22" x14ac:dyDescent="0.45">
      <c r="G69" s="72" t="s">
        <v>108</v>
      </c>
      <c r="J69" s="74">
        <f>SUM(J66:J68)</f>
        <v>75600</v>
      </c>
      <c r="K69" s="72" t="s">
        <v>125</v>
      </c>
      <c r="V69" s="74"/>
    </row>
    <row r="70" spans="3:22" ht="27" thickBot="1" x14ac:dyDescent="0.5"/>
    <row r="71" spans="3:22" ht="18.600000000000001" customHeight="1" x14ac:dyDescent="0.45">
      <c r="J71" s="76" t="s">
        <v>129</v>
      </c>
      <c r="V71" s="80"/>
    </row>
    <row r="72" spans="3:22" ht="65.400000000000006" customHeight="1" thickBot="1" x14ac:dyDescent="0.5">
      <c r="J72" s="77"/>
    </row>
    <row r="73" spans="3:22" ht="27" customHeight="1" x14ac:dyDescent="0.45">
      <c r="F73" s="73" t="s">
        <v>132</v>
      </c>
      <c r="G73" s="73"/>
      <c r="S73" s="73"/>
    </row>
    <row r="74" spans="3:22" ht="27" customHeight="1" x14ac:dyDescent="0.45">
      <c r="G74" s="73"/>
      <c r="S74" s="73"/>
    </row>
    <row r="75" spans="3:22" x14ac:dyDescent="0.45">
      <c r="C75" s="75" t="s">
        <v>133</v>
      </c>
      <c r="F75" s="75" t="str">
        <f>F21</f>
        <v>７月３日（木） １８：３０以降</v>
      </c>
      <c r="O75" s="75"/>
    </row>
    <row r="76" spans="3:22" x14ac:dyDescent="0.45">
      <c r="G76" s="75" t="s">
        <v>128</v>
      </c>
      <c r="S76" s="75"/>
    </row>
    <row r="78" spans="3:22" x14ac:dyDescent="0.45">
      <c r="C78" s="78" t="s">
        <v>130</v>
      </c>
      <c r="O78" s="78"/>
    </row>
    <row r="79" spans="3:22" x14ac:dyDescent="0.45">
      <c r="C79" s="78"/>
      <c r="O79" s="78"/>
    </row>
    <row r="83" spans="1:23" ht="28.8" x14ac:dyDescent="0.45">
      <c r="B83" s="79">
        <v>4</v>
      </c>
      <c r="C83" s="79" t="s">
        <v>120</v>
      </c>
      <c r="D83" s="79"/>
      <c r="J83" s="98" t="str">
        <f>J2</f>
        <v>2025.6.20</v>
      </c>
      <c r="N83" s="79"/>
      <c r="O83" s="79"/>
      <c r="P83" s="79"/>
      <c r="V83" s="73"/>
    </row>
    <row r="84" spans="1:23" ht="24" customHeight="1" x14ac:dyDescent="0.45">
      <c r="J84" s="98" t="s">
        <v>126</v>
      </c>
      <c r="V84" s="73"/>
    </row>
    <row r="85" spans="1:23" ht="21.6" customHeight="1" x14ac:dyDescent="0.45">
      <c r="J85" s="98" t="s">
        <v>127</v>
      </c>
      <c r="V85" s="73"/>
    </row>
    <row r="86" spans="1:23" ht="21.6" customHeight="1" x14ac:dyDescent="0.45"/>
    <row r="87" spans="1:23" ht="37.799999999999997" x14ac:dyDescent="0.45">
      <c r="A87" s="81"/>
      <c r="B87" s="81"/>
      <c r="C87" s="81"/>
      <c r="D87" s="81">
        <f>D6</f>
        <v>6</v>
      </c>
      <c r="E87" s="81" t="s">
        <v>131</v>
      </c>
      <c r="F87" s="81"/>
      <c r="G87" s="81"/>
      <c r="H87" s="81"/>
      <c r="I87" s="81"/>
      <c r="J87" s="81"/>
      <c r="K87" s="81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</row>
    <row r="89" spans="1:23" x14ac:dyDescent="0.45">
      <c r="B89" s="72" t="s">
        <v>121</v>
      </c>
    </row>
    <row r="90" spans="1:23" ht="6" customHeight="1" x14ac:dyDescent="0.45"/>
    <row r="91" spans="1:23" x14ac:dyDescent="0.45">
      <c r="B91" s="72">
        <f>D87</f>
        <v>6</v>
      </c>
      <c r="C91" s="72" t="s">
        <v>122</v>
      </c>
    </row>
    <row r="93" spans="1:23" x14ac:dyDescent="0.45">
      <c r="C93" s="72" t="s">
        <v>123</v>
      </c>
      <c r="F93" s="72">
        <f>$F$12</f>
        <v>2000</v>
      </c>
      <c r="G93" s="72" t="s">
        <v>124</v>
      </c>
      <c r="H93" s="72">
        <f>徴収内訳!$H$3</f>
        <v>12</v>
      </c>
      <c r="I93" s="72" t="s">
        <v>117</v>
      </c>
      <c r="J93" s="74">
        <f>F93*H93</f>
        <v>24000</v>
      </c>
      <c r="K93" s="72" t="s">
        <v>125</v>
      </c>
      <c r="V93" s="74"/>
    </row>
    <row r="94" spans="1:23" x14ac:dyDescent="0.45">
      <c r="C94" s="72" t="str">
        <f t="shared" ref="C94:C95" si="2">C13</f>
        <v>・八坂神社維持費（前期）</v>
      </c>
      <c r="F94" s="72">
        <v>2800</v>
      </c>
      <c r="G94" s="72" t="s">
        <v>124</v>
      </c>
      <c r="H94" s="72">
        <f>徴収内訳!$H$1</f>
        <v>11</v>
      </c>
      <c r="I94" s="72" t="s">
        <v>117</v>
      </c>
      <c r="J94" s="74">
        <f>F94*H94</f>
        <v>30800</v>
      </c>
      <c r="K94" s="72" t="s">
        <v>125</v>
      </c>
      <c r="V94" s="74"/>
    </row>
    <row r="95" spans="1:23" x14ac:dyDescent="0.45">
      <c r="C95" s="72" t="str">
        <f t="shared" si="2"/>
        <v>・愛宕宮火難除け祈願祭</v>
      </c>
      <c r="F95" s="72">
        <v>100</v>
      </c>
      <c r="G95" s="72" t="s">
        <v>124</v>
      </c>
      <c r="H95" s="72">
        <v>13</v>
      </c>
      <c r="I95" s="72" t="s">
        <v>117</v>
      </c>
      <c r="J95" s="74">
        <f>F95*H95</f>
        <v>1300</v>
      </c>
      <c r="K95" s="72" t="s">
        <v>125</v>
      </c>
      <c r="V95" s="74"/>
    </row>
    <row r="96" spans="1:23" x14ac:dyDescent="0.45">
      <c r="G96" s="72" t="s">
        <v>108</v>
      </c>
      <c r="J96" s="74">
        <f>SUM(J93:J95)</f>
        <v>56100</v>
      </c>
      <c r="K96" s="72" t="s">
        <v>125</v>
      </c>
      <c r="V96" s="74"/>
    </row>
    <row r="97" spans="3:22" ht="27" thickBot="1" x14ac:dyDescent="0.5"/>
    <row r="98" spans="3:22" ht="18.600000000000001" customHeight="1" x14ac:dyDescent="0.45">
      <c r="J98" s="76" t="s">
        <v>129</v>
      </c>
      <c r="V98" s="80"/>
    </row>
    <row r="99" spans="3:22" ht="65.400000000000006" customHeight="1" thickBot="1" x14ac:dyDescent="0.5">
      <c r="J99" s="77"/>
    </row>
    <row r="100" spans="3:22" ht="27" customHeight="1" x14ac:dyDescent="0.45">
      <c r="F100" s="73" t="s">
        <v>132</v>
      </c>
      <c r="G100" s="73"/>
      <c r="S100" s="73"/>
    </row>
    <row r="101" spans="3:22" ht="27" customHeight="1" x14ac:dyDescent="0.45">
      <c r="G101" s="73"/>
      <c r="S101" s="73"/>
    </row>
    <row r="102" spans="3:22" x14ac:dyDescent="0.45">
      <c r="C102" s="75" t="s">
        <v>133</v>
      </c>
      <c r="F102" s="75" t="str">
        <f>F21</f>
        <v>７月３日（木） １８：３０以降</v>
      </c>
      <c r="O102" s="75"/>
    </row>
    <row r="103" spans="3:22" x14ac:dyDescent="0.45">
      <c r="G103" s="75" t="s">
        <v>128</v>
      </c>
      <c r="S103" s="75"/>
    </row>
    <row r="105" spans="3:22" x14ac:dyDescent="0.45">
      <c r="C105" s="78" t="s">
        <v>130</v>
      </c>
      <c r="O105" s="78"/>
    </row>
  </sheetData>
  <mergeCells count="4">
    <mergeCell ref="M6:W6"/>
    <mergeCell ref="M33:W33"/>
    <mergeCell ref="M60:W60"/>
    <mergeCell ref="M87:W87"/>
  </mergeCells>
  <phoneticPr fontId="1"/>
  <pageMargins left="0.70866141732283472" right="0.31496062992125984" top="0.74803149606299213" bottom="0.74803149606299213" header="0.31496062992125984" footer="0.31496062992125984"/>
  <pageSetup paperSize="9"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F3B6A-E7D3-4E0A-A2FA-1C1282B69783}">
  <dimension ref="A2:W105"/>
  <sheetViews>
    <sheetView view="pageLayout" topLeftCell="A7" zoomScale="86" zoomScaleNormal="100" zoomScaleSheetLayoutView="85" zoomScalePageLayoutView="86" workbookViewId="0">
      <selection activeCell="F22" sqref="F22"/>
    </sheetView>
  </sheetViews>
  <sheetFormatPr defaultRowHeight="26.4" x14ac:dyDescent="0.45"/>
  <cols>
    <col min="1" max="1" width="2.59765625" style="72" customWidth="1"/>
    <col min="2" max="2" width="2.19921875" style="72" customWidth="1"/>
    <col min="3" max="3" width="8.796875" style="72"/>
    <col min="4" max="4" width="5.8984375" style="72" customWidth="1"/>
    <col min="5" max="5" width="15.796875" style="72" customWidth="1"/>
    <col min="6" max="6" width="8.59765625" style="72" customWidth="1"/>
    <col min="7" max="7" width="6.09765625" style="72" customWidth="1"/>
    <col min="8" max="8" width="4.3984375" style="72" customWidth="1"/>
    <col min="9" max="9" width="4.5" style="72" customWidth="1"/>
    <col min="10" max="10" width="14.5" style="72" customWidth="1"/>
    <col min="11" max="11" width="10.5" style="72" customWidth="1"/>
    <col min="12" max="12" width="8.796875" style="72"/>
    <col min="13" max="13" width="3.69921875" style="72" customWidth="1"/>
    <col min="14" max="16384" width="8.796875" style="72"/>
  </cols>
  <sheetData>
    <row r="2" spans="2:23" ht="28.8" x14ac:dyDescent="0.45">
      <c r="B2" s="79">
        <v>1</v>
      </c>
      <c r="C2" s="79" t="s">
        <v>120</v>
      </c>
      <c r="D2" s="79"/>
      <c r="J2" s="98" t="s">
        <v>155</v>
      </c>
      <c r="N2" s="79"/>
      <c r="O2" s="79"/>
      <c r="P2" s="79"/>
      <c r="V2" s="73"/>
    </row>
    <row r="3" spans="2:23" ht="24" customHeight="1" x14ac:dyDescent="0.45">
      <c r="J3" s="98" t="s">
        <v>126</v>
      </c>
      <c r="V3" s="73"/>
    </row>
    <row r="4" spans="2:23" ht="21.6" customHeight="1" x14ac:dyDescent="0.45">
      <c r="J4" s="98" t="s">
        <v>127</v>
      </c>
      <c r="V4" s="73"/>
    </row>
    <row r="5" spans="2:23" ht="21.6" customHeight="1" x14ac:dyDescent="0.45"/>
    <row r="6" spans="2:23" ht="37.799999999999997" x14ac:dyDescent="0.45">
      <c r="D6" s="81">
        <v>7</v>
      </c>
      <c r="E6" s="81" t="s">
        <v>131</v>
      </c>
      <c r="F6" s="81"/>
      <c r="G6" s="81"/>
      <c r="H6" s="81"/>
      <c r="I6" s="81"/>
      <c r="J6" s="81"/>
      <c r="K6" s="81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</row>
    <row r="8" spans="2:23" x14ac:dyDescent="0.45">
      <c r="B8" s="72" t="s">
        <v>121</v>
      </c>
    </row>
    <row r="9" spans="2:23" ht="6" customHeight="1" x14ac:dyDescent="0.45"/>
    <row r="10" spans="2:23" x14ac:dyDescent="0.45">
      <c r="C10" s="72" t="s">
        <v>157</v>
      </c>
    </row>
    <row r="12" spans="2:23" x14ac:dyDescent="0.45">
      <c r="C12" s="72" t="s">
        <v>123</v>
      </c>
      <c r="F12" s="72">
        <v>2000</v>
      </c>
      <c r="G12" s="72" t="s">
        <v>124</v>
      </c>
      <c r="H12" s="72">
        <f>徴収内訳!$E$3</f>
        <v>14</v>
      </c>
      <c r="I12" s="72" t="s">
        <v>117</v>
      </c>
      <c r="J12" s="74">
        <f>F12*H12</f>
        <v>28000</v>
      </c>
      <c r="K12" s="72" t="s">
        <v>125</v>
      </c>
      <c r="V12" s="74"/>
    </row>
    <row r="13" spans="2:23" x14ac:dyDescent="0.45">
      <c r="C13" s="99" t="s">
        <v>156</v>
      </c>
      <c r="F13" s="72">
        <v>800</v>
      </c>
      <c r="G13" s="72" t="s">
        <v>124</v>
      </c>
      <c r="H13" s="72">
        <v>14</v>
      </c>
      <c r="I13" s="72" t="s">
        <v>117</v>
      </c>
      <c r="J13" s="74">
        <f>F13*H13</f>
        <v>11200</v>
      </c>
      <c r="K13" s="72" t="s">
        <v>125</v>
      </c>
      <c r="V13" s="74"/>
    </row>
    <row r="14" spans="2:23" x14ac:dyDescent="0.45">
      <c r="C14" s="99"/>
      <c r="J14" s="74"/>
      <c r="V14" s="74"/>
    </row>
    <row r="15" spans="2:23" x14ac:dyDescent="0.45">
      <c r="G15" s="72" t="s">
        <v>108</v>
      </c>
      <c r="J15" s="74">
        <f>SUM(J12:J14)</f>
        <v>39200</v>
      </c>
      <c r="K15" s="72" t="s">
        <v>125</v>
      </c>
      <c r="V15" s="74"/>
    </row>
    <row r="16" spans="2:23" ht="27" thickBot="1" x14ac:dyDescent="0.5"/>
    <row r="17" spans="2:22" ht="18.600000000000001" customHeight="1" x14ac:dyDescent="0.45">
      <c r="J17" s="76" t="s">
        <v>129</v>
      </c>
      <c r="V17" s="80"/>
    </row>
    <row r="18" spans="2:22" ht="65.400000000000006" customHeight="1" thickBot="1" x14ac:dyDescent="0.5">
      <c r="J18" s="77"/>
    </row>
    <row r="19" spans="2:22" ht="27" customHeight="1" x14ac:dyDescent="0.45">
      <c r="F19" s="73" t="s">
        <v>132</v>
      </c>
      <c r="G19" s="73"/>
      <c r="S19" s="73"/>
    </row>
    <row r="20" spans="2:22" ht="27" customHeight="1" x14ac:dyDescent="0.45">
      <c r="G20" s="73"/>
      <c r="S20" s="73"/>
    </row>
    <row r="21" spans="2:22" x14ac:dyDescent="0.45">
      <c r="C21" s="75" t="s">
        <v>133</v>
      </c>
      <c r="F21" s="75" t="s">
        <v>158</v>
      </c>
      <c r="O21" s="75"/>
    </row>
    <row r="22" spans="2:22" x14ac:dyDescent="0.45">
      <c r="G22" s="75" t="s">
        <v>128</v>
      </c>
      <c r="S22" s="75"/>
    </row>
    <row r="24" spans="2:22" x14ac:dyDescent="0.45">
      <c r="C24" s="78" t="s">
        <v>130</v>
      </c>
      <c r="O24" s="78"/>
    </row>
    <row r="29" spans="2:22" ht="28.8" x14ac:dyDescent="0.45">
      <c r="B29" s="79">
        <v>2</v>
      </c>
      <c r="C29" s="79" t="s">
        <v>120</v>
      </c>
      <c r="D29" s="79"/>
      <c r="J29" s="98" t="str">
        <f>J2</f>
        <v>2024.7.20</v>
      </c>
      <c r="N29" s="79"/>
      <c r="O29" s="79"/>
      <c r="P29" s="79"/>
      <c r="V29" s="73"/>
    </row>
    <row r="30" spans="2:22" ht="24" customHeight="1" x14ac:dyDescent="0.45">
      <c r="J30" s="98" t="s">
        <v>126</v>
      </c>
      <c r="V30" s="73"/>
    </row>
    <row r="31" spans="2:22" ht="21.6" customHeight="1" x14ac:dyDescent="0.45">
      <c r="J31" s="98" t="s">
        <v>127</v>
      </c>
      <c r="V31" s="73"/>
    </row>
    <row r="32" spans="2:22" ht="21.6" customHeight="1" x14ac:dyDescent="0.45"/>
    <row r="33" spans="1:23" ht="37.799999999999997" x14ac:dyDescent="0.45">
      <c r="A33" s="81"/>
      <c r="B33" s="81"/>
      <c r="C33" s="81"/>
      <c r="D33" s="81">
        <f>D6</f>
        <v>7</v>
      </c>
      <c r="E33" s="81" t="s">
        <v>131</v>
      </c>
      <c r="F33" s="81"/>
      <c r="G33" s="81"/>
      <c r="H33" s="81"/>
      <c r="I33" s="81"/>
      <c r="J33" s="81"/>
      <c r="K33" s="81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</row>
    <row r="35" spans="1:23" x14ac:dyDescent="0.45">
      <c r="B35" s="72" t="s">
        <v>121</v>
      </c>
    </row>
    <row r="36" spans="1:23" ht="6" customHeight="1" x14ac:dyDescent="0.45"/>
    <row r="37" spans="1:23" x14ac:dyDescent="0.45">
      <c r="B37" s="72">
        <f>D33</f>
        <v>7</v>
      </c>
      <c r="C37" s="72" t="str">
        <f>$C$10</f>
        <v>今月の徴収明細は以下の通りです。</v>
      </c>
    </row>
    <row r="39" spans="1:23" x14ac:dyDescent="0.45">
      <c r="C39" s="72" t="s">
        <v>123</v>
      </c>
      <c r="F39" s="72">
        <f>$F$12</f>
        <v>2000</v>
      </c>
      <c r="G39" s="72" t="s">
        <v>124</v>
      </c>
      <c r="H39" s="72">
        <f>徴収内訳!$F$3</f>
        <v>11</v>
      </c>
      <c r="I39" s="72" t="s">
        <v>117</v>
      </c>
      <c r="J39" s="74">
        <f>F39*H39</f>
        <v>22000</v>
      </c>
      <c r="K39" s="72" t="s">
        <v>125</v>
      </c>
      <c r="V39" s="74"/>
    </row>
    <row r="40" spans="1:23" x14ac:dyDescent="0.45">
      <c r="C40" s="72" t="str">
        <f t="shared" ref="C40" si="0">C13</f>
        <v>・社会福祉協議会費</v>
      </c>
      <c r="F40" s="72">
        <v>800</v>
      </c>
      <c r="G40" s="72" t="s">
        <v>124</v>
      </c>
      <c r="H40" s="72">
        <f>徴収内訳!$F$1</f>
        <v>11</v>
      </c>
      <c r="I40" s="72" t="s">
        <v>117</v>
      </c>
      <c r="J40" s="74">
        <f>F40*H40</f>
        <v>8800</v>
      </c>
      <c r="K40" s="72" t="s">
        <v>125</v>
      </c>
      <c r="V40" s="74"/>
    </row>
    <row r="41" spans="1:23" x14ac:dyDescent="0.45">
      <c r="J41" s="74"/>
      <c r="V41" s="74"/>
    </row>
    <row r="42" spans="1:23" x14ac:dyDescent="0.45">
      <c r="G42" s="72" t="s">
        <v>108</v>
      </c>
      <c r="J42" s="74">
        <f>SUM(J39:J41)</f>
        <v>30800</v>
      </c>
      <c r="K42" s="72" t="s">
        <v>125</v>
      </c>
      <c r="V42" s="74"/>
    </row>
    <row r="43" spans="1:23" ht="27" thickBot="1" x14ac:dyDescent="0.5"/>
    <row r="44" spans="1:23" ht="18.600000000000001" customHeight="1" x14ac:dyDescent="0.45">
      <c r="J44" s="76" t="s">
        <v>129</v>
      </c>
      <c r="V44" s="80"/>
    </row>
    <row r="45" spans="1:23" ht="65.400000000000006" customHeight="1" thickBot="1" x14ac:dyDescent="0.5">
      <c r="J45" s="77"/>
    </row>
    <row r="46" spans="1:23" ht="27" customHeight="1" x14ac:dyDescent="0.45">
      <c r="F46" s="73" t="s">
        <v>132</v>
      </c>
      <c r="G46" s="73"/>
      <c r="S46" s="73"/>
    </row>
    <row r="47" spans="1:23" ht="27" customHeight="1" x14ac:dyDescent="0.45">
      <c r="G47" s="73"/>
      <c r="S47" s="73"/>
    </row>
    <row r="48" spans="1:23" x14ac:dyDescent="0.45">
      <c r="C48" s="75" t="s">
        <v>133</v>
      </c>
      <c r="F48" s="75" t="str">
        <f>F21</f>
        <v>７月２９日（月） １８：３０以降</v>
      </c>
      <c r="O48" s="75"/>
    </row>
    <row r="49" spans="1:23" x14ac:dyDescent="0.45">
      <c r="G49" s="75" t="s">
        <v>128</v>
      </c>
      <c r="S49" s="75"/>
    </row>
    <row r="51" spans="1:23" x14ac:dyDescent="0.45">
      <c r="C51" s="78" t="s">
        <v>130</v>
      </c>
      <c r="O51" s="78"/>
    </row>
    <row r="56" spans="1:23" ht="28.8" x14ac:dyDescent="0.45">
      <c r="B56" s="79">
        <v>3</v>
      </c>
      <c r="C56" s="79" t="s">
        <v>120</v>
      </c>
      <c r="D56" s="79"/>
      <c r="J56" s="98" t="str">
        <f>J2</f>
        <v>2024.7.20</v>
      </c>
      <c r="N56" s="79"/>
      <c r="O56" s="79"/>
      <c r="P56" s="79"/>
      <c r="V56" s="73"/>
    </row>
    <row r="57" spans="1:23" ht="24" customHeight="1" x14ac:dyDescent="0.45">
      <c r="J57" s="98" t="s">
        <v>126</v>
      </c>
      <c r="V57" s="73"/>
    </row>
    <row r="58" spans="1:23" ht="21.6" customHeight="1" x14ac:dyDescent="0.45">
      <c r="J58" s="98" t="s">
        <v>127</v>
      </c>
      <c r="V58" s="73"/>
    </row>
    <row r="59" spans="1:23" ht="21.6" customHeight="1" x14ac:dyDescent="0.45"/>
    <row r="60" spans="1:23" ht="37.799999999999997" x14ac:dyDescent="0.45">
      <c r="A60" s="81"/>
      <c r="B60" s="81"/>
      <c r="C60" s="81"/>
      <c r="D60" s="81">
        <f>D6</f>
        <v>7</v>
      </c>
      <c r="E60" s="81" t="s">
        <v>131</v>
      </c>
      <c r="F60" s="81"/>
      <c r="G60" s="81"/>
      <c r="H60" s="81"/>
      <c r="I60" s="81"/>
      <c r="J60" s="81"/>
      <c r="K60" s="81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</row>
    <row r="62" spans="1:23" x14ac:dyDescent="0.45">
      <c r="B62" s="72" t="s">
        <v>121</v>
      </c>
    </row>
    <row r="63" spans="1:23" ht="6" customHeight="1" x14ac:dyDescent="0.45"/>
    <row r="64" spans="1:23" x14ac:dyDescent="0.45">
      <c r="B64" s="72">
        <f>D60</f>
        <v>7</v>
      </c>
      <c r="C64" s="72" t="str">
        <f>$C$10</f>
        <v>今月の徴収明細は以下の通りです。</v>
      </c>
    </row>
    <row r="66" spans="3:22" x14ac:dyDescent="0.45">
      <c r="C66" s="72" t="s">
        <v>123</v>
      </c>
      <c r="F66" s="72">
        <f>$F$12</f>
        <v>2000</v>
      </c>
      <c r="G66" s="72" t="s">
        <v>124</v>
      </c>
      <c r="H66" s="72">
        <f>徴収内訳!$G$3</f>
        <v>16</v>
      </c>
      <c r="I66" s="72" t="s">
        <v>117</v>
      </c>
      <c r="J66" s="74">
        <f>F66*H66</f>
        <v>32000</v>
      </c>
      <c r="K66" s="72" t="s">
        <v>125</v>
      </c>
      <c r="V66" s="74"/>
    </row>
    <row r="67" spans="3:22" x14ac:dyDescent="0.45">
      <c r="C67" s="72" t="str">
        <f t="shared" ref="C67" si="1">C13</f>
        <v>・社会福祉協議会費</v>
      </c>
      <c r="F67" s="72">
        <v>800</v>
      </c>
      <c r="G67" s="72" t="s">
        <v>124</v>
      </c>
      <c r="H67" s="72">
        <v>16</v>
      </c>
      <c r="I67" s="72" t="s">
        <v>117</v>
      </c>
      <c r="J67" s="74">
        <f>F67*H67</f>
        <v>12800</v>
      </c>
      <c r="K67" s="72" t="s">
        <v>125</v>
      </c>
      <c r="V67" s="74"/>
    </row>
    <row r="68" spans="3:22" x14ac:dyDescent="0.45">
      <c r="J68" s="74"/>
      <c r="V68" s="74"/>
    </row>
    <row r="69" spans="3:22" x14ac:dyDescent="0.45">
      <c r="G69" s="72" t="s">
        <v>108</v>
      </c>
      <c r="J69" s="74">
        <f>SUM(J66:J68)</f>
        <v>44800</v>
      </c>
      <c r="K69" s="72" t="s">
        <v>125</v>
      </c>
      <c r="V69" s="74"/>
    </row>
    <row r="70" spans="3:22" ht="27" thickBot="1" x14ac:dyDescent="0.5"/>
    <row r="71" spans="3:22" ht="18.600000000000001" customHeight="1" x14ac:dyDescent="0.45">
      <c r="J71" s="76" t="s">
        <v>129</v>
      </c>
      <c r="V71" s="80"/>
    </row>
    <row r="72" spans="3:22" ht="65.400000000000006" customHeight="1" thickBot="1" x14ac:dyDescent="0.5">
      <c r="J72" s="77"/>
    </row>
    <row r="73" spans="3:22" ht="27" customHeight="1" x14ac:dyDescent="0.45">
      <c r="F73" s="73" t="s">
        <v>132</v>
      </c>
      <c r="G73" s="73"/>
      <c r="S73" s="73"/>
    </row>
    <row r="74" spans="3:22" ht="27" customHeight="1" x14ac:dyDescent="0.45">
      <c r="G74" s="73"/>
      <c r="S74" s="73"/>
    </row>
    <row r="75" spans="3:22" x14ac:dyDescent="0.45">
      <c r="C75" s="75" t="s">
        <v>133</v>
      </c>
      <c r="F75" s="75" t="str">
        <f>F21</f>
        <v>７月２９日（月） １８：３０以降</v>
      </c>
      <c r="O75" s="75"/>
    </row>
    <row r="76" spans="3:22" x14ac:dyDescent="0.45">
      <c r="G76" s="75" t="s">
        <v>128</v>
      </c>
      <c r="S76" s="75"/>
    </row>
    <row r="78" spans="3:22" x14ac:dyDescent="0.45">
      <c r="C78" s="78" t="s">
        <v>130</v>
      </c>
      <c r="O78" s="78"/>
    </row>
    <row r="79" spans="3:22" x14ac:dyDescent="0.45">
      <c r="C79" s="78"/>
      <c r="O79" s="78"/>
    </row>
    <row r="83" spans="1:23" ht="28.8" x14ac:dyDescent="0.45">
      <c r="B83" s="79">
        <v>4</v>
      </c>
      <c r="C83" s="79" t="s">
        <v>120</v>
      </c>
      <c r="D83" s="79"/>
      <c r="J83" s="98" t="str">
        <f>J2</f>
        <v>2024.7.20</v>
      </c>
      <c r="N83" s="79"/>
      <c r="O83" s="79"/>
      <c r="P83" s="79"/>
      <c r="V83" s="73"/>
    </row>
    <row r="84" spans="1:23" ht="24" customHeight="1" x14ac:dyDescent="0.45">
      <c r="J84" s="98" t="s">
        <v>126</v>
      </c>
      <c r="V84" s="73"/>
    </row>
    <row r="85" spans="1:23" ht="21.6" customHeight="1" x14ac:dyDescent="0.45">
      <c r="J85" s="98" t="s">
        <v>127</v>
      </c>
      <c r="V85" s="73"/>
    </row>
    <row r="86" spans="1:23" ht="21.6" customHeight="1" x14ac:dyDescent="0.45"/>
    <row r="87" spans="1:23" ht="37.799999999999997" x14ac:dyDescent="0.45">
      <c r="A87" s="81"/>
      <c r="B87" s="81"/>
      <c r="C87" s="81"/>
      <c r="D87" s="81">
        <f>D6</f>
        <v>7</v>
      </c>
      <c r="E87" s="81" t="s">
        <v>131</v>
      </c>
      <c r="F87" s="81"/>
      <c r="G87" s="81"/>
      <c r="H87" s="81"/>
      <c r="I87" s="81"/>
      <c r="J87" s="81"/>
      <c r="K87" s="81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</row>
    <row r="89" spans="1:23" x14ac:dyDescent="0.45">
      <c r="B89" s="72" t="s">
        <v>121</v>
      </c>
    </row>
    <row r="90" spans="1:23" ht="6" customHeight="1" x14ac:dyDescent="0.45"/>
    <row r="91" spans="1:23" x14ac:dyDescent="0.45">
      <c r="B91" s="72">
        <f>D87</f>
        <v>7</v>
      </c>
      <c r="C91" s="72" t="str">
        <f>$C$10</f>
        <v>今月の徴収明細は以下の通りです。</v>
      </c>
    </row>
    <row r="93" spans="1:23" x14ac:dyDescent="0.45">
      <c r="C93" s="72" t="s">
        <v>123</v>
      </c>
      <c r="F93" s="72">
        <f>$F$12</f>
        <v>2000</v>
      </c>
      <c r="G93" s="72" t="s">
        <v>124</v>
      </c>
      <c r="H93" s="72">
        <f>徴収内訳!$H$3</f>
        <v>12</v>
      </c>
      <c r="I93" s="72" t="s">
        <v>117</v>
      </c>
      <c r="J93" s="74">
        <f>F93*H93</f>
        <v>24000</v>
      </c>
      <c r="K93" s="72" t="s">
        <v>125</v>
      </c>
      <c r="V93" s="74"/>
    </row>
    <row r="94" spans="1:23" x14ac:dyDescent="0.45">
      <c r="C94" s="72" t="str">
        <f t="shared" ref="C94" si="2">C13</f>
        <v>・社会福祉協議会費</v>
      </c>
      <c r="F94" s="72">
        <v>800</v>
      </c>
      <c r="G94" s="72" t="s">
        <v>124</v>
      </c>
      <c r="H94" s="72">
        <v>12</v>
      </c>
      <c r="I94" s="72" t="s">
        <v>117</v>
      </c>
      <c r="J94" s="74">
        <f>F94*H94</f>
        <v>9600</v>
      </c>
      <c r="K94" s="72" t="s">
        <v>125</v>
      </c>
      <c r="V94" s="74"/>
    </row>
    <row r="95" spans="1:23" x14ac:dyDescent="0.45">
      <c r="J95" s="74"/>
      <c r="V95" s="74"/>
    </row>
    <row r="96" spans="1:23" x14ac:dyDescent="0.45">
      <c r="G96" s="72" t="s">
        <v>108</v>
      </c>
      <c r="J96" s="74">
        <f>SUM(J93:J95)</f>
        <v>33600</v>
      </c>
      <c r="K96" s="72" t="s">
        <v>125</v>
      </c>
      <c r="V96" s="74"/>
    </row>
    <row r="97" spans="3:22" ht="27" thickBot="1" x14ac:dyDescent="0.5"/>
    <row r="98" spans="3:22" ht="18.600000000000001" customHeight="1" x14ac:dyDescent="0.45">
      <c r="J98" s="76" t="s">
        <v>129</v>
      </c>
      <c r="V98" s="80"/>
    </row>
    <row r="99" spans="3:22" ht="65.400000000000006" customHeight="1" thickBot="1" x14ac:dyDescent="0.5">
      <c r="J99" s="77"/>
    </row>
    <row r="100" spans="3:22" ht="27" customHeight="1" x14ac:dyDescent="0.45">
      <c r="F100" s="73" t="s">
        <v>132</v>
      </c>
      <c r="G100" s="73"/>
      <c r="S100" s="73"/>
    </row>
    <row r="101" spans="3:22" ht="27" customHeight="1" x14ac:dyDescent="0.45">
      <c r="G101" s="73"/>
      <c r="S101" s="73"/>
    </row>
    <row r="102" spans="3:22" x14ac:dyDescent="0.45">
      <c r="C102" s="75" t="s">
        <v>133</v>
      </c>
      <c r="F102" s="75" t="str">
        <f>F21</f>
        <v>７月２９日（月） １８：３０以降</v>
      </c>
      <c r="O102" s="75"/>
    </row>
    <row r="103" spans="3:22" x14ac:dyDescent="0.45">
      <c r="G103" s="75" t="s">
        <v>128</v>
      </c>
      <c r="S103" s="75"/>
    </row>
    <row r="105" spans="3:22" x14ac:dyDescent="0.45">
      <c r="C105" s="78" t="s">
        <v>130</v>
      </c>
      <c r="O105" s="78"/>
    </row>
  </sheetData>
  <mergeCells count="4">
    <mergeCell ref="M6:W6"/>
    <mergeCell ref="M33:W33"/>
    <mergeCell ref="M60:W60"/>
    <mergeCell ref="M87:W87"/>
  </mergeCells>
  <phoneticPr fontId="1"/>
  <pageMargins left="0.70866141732283472" right="0.31496062992125984" top="0.74803149606299213" bottom="0.74803149606299213" header="0.31496062992125984" footer="0.31496062992125984"/>
  <pageSetup paperSize="9"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CE9C2-C64B-4346-8B32-6474D4AF5F1C}">
  <dimension ref="A2:W105"/>
  <sheetViews>
    <sheetView view="pageLayout" zoomScale="86" zoomScaleNormal="100" zoomScaleSheetLayoutView="85" zoomScalePageLayoutView="86" workbookViewId="0">
      <selection activeCell="Q12" sqref="Q12"/>
    </sheetView>
  </sheetViews>
  <sheetFormatPr defaultRowHeight="26.4" x14ac:dyDescent="0.45"/>
  <cols>
    <col min="1" max="1" width="2.59765625" style="72" customWidth="1"/>
    <col min="2" max="2" width="2.19921875" style="72" customWidth="1"/>
    <col min="3" max="3" width="8.796875" style="72"/>
    <col min="4" max="4" width="5.8984375" style="72" customWidth="1"/>
    <col min="5" max="5" width="15.796875" style="72" customWidth="1"/>
    <col min="6" max="6" width="8.59765625" style="72" customWidth="1"/>
    <col min="7" max="7" width="6.09765625" style="72" customWidth="1"/>
    <col min="8" max="8" width="4.3984375" style="72" customWidth="1"/>
    <col min="9" max="9" width="4.5" style="72" customWidth="1"/>
    <col min="10" max="10" width="14.5" style="72" customWidth="1"/>
    <col min="11" max="11" width="10.5" style="72" customWidth="1"/>
    <col min="12" max="12" width="8.796875" style="72"/>
    <col min="13" max="13" width="3.69921875" style="72" customWidth="1"/>
    <col min="14" max="16384" width="8.796875" style="72"/>
  </cols>
  <sheetData>
    <row r="2" spans="2:23" ht="28.8" x14ac:dyDescent="0.45">
      <c r="B2" s="79">
        <v>1</v>
      </c>
      <c r="C2" s="79" t="s">
        <v>120</v>
      </c>
      <c r="D2" s="79"/>
      <c r="J2" s="98" t="s">
        <v>159</v>
      </c>
      <c r="N2" s="79"/>
      <c r="O2" s="79"/>
      <c r="P2" s="79"/>
      <c r="V2" s="73"/>
    </row>
    <row r="3" spans="2:23" ht="24" customHeight="1" x14ac:dyDescent="0.45">
      <c r="J3" s="98" t="s">
        <v>126</v>
      </c>
      <c r="V3" s="73"/>
    </row>
    <row r="4" spans="2:23" ht="21.6" customHeight="1" x14ac:dyDescent="0.45">
      <c r="J4" s="98" t="s">
        <v>127</v>
      </c>
      <c r="V4" s="73"/>
    </row>
    <row r="5" spans="2:23" ht="21.6" customHeight="1" x14ac:dyDescent="0.45"/>
    <row r="6" spans="2:23" ht="37.799999999999997" x14ac:dyDescent="0.45">
      <c r="D6" s="81">
        <v>8</v>
      </c>
      <c r="E6" s="81" t="s">
        <v>131</v>
      </c>
      <c r="F6" s="81"/>
      <c r="G6" s="81"/>
      <c r="H6" s="81"/>
      <c r="I6" s="81"/>
      <c r="J6" s="81"/>
      <c r="K6" s="81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</row>
    <row r="8" spans="2:23" x14ac:dyDescent="0.45">
      <c r="B8" s="72" t="s">
        <v>121</v>
      </c>
    </row>
    <row r="9" spans="2:23" ht="6" customHeight="1" x14ac:dyDescent="0.45"/>
    <row r="10" spans="2:23" x14ac:dyDescent="0.45">
      <c r="C10" s="72" t="s">
        <v>157</v>
      </c>
    </row>
    <row r="12" spans="2:23" x14ac:dyDescent="0.45">
      <c r="C12" s="72" t="s">
        <v>123</v>
      </c>
      <c r="F12" s="72">
        <v>2000</v>
      </c>
      <c r="G12" s="72" t="s">
        <v>124</v>
      </c>
      <c r="H12" s="72">
        <f>徴収内訳!$E$3</f>
        <v>14</v>
      </c>
      <c r="I12" s="72" t="s">
        <v>117</v>
      </c>
      <c r="J12" s="74">
        <f>F12*H12</f>
        <v>28000</v>
      </c>
      <c r="K12" s="72" t="s">
        <v>125</v>
      </c>
      <c r="V12" s="74"/>
    </row>
    <row r="13" spans="2:23" x14ac:dyDescent="0.45">
      <c r="C13" s="99"/>
      <c r="J13" s="74"/>
      <c r="V13" s="74"/>
    </row>
    <row r="14" spans="2:23" x14ac:dyDescent="0.45">
      <c r="C14" s="99"/>
      <c r="J14" s="74"/>
      <c r="V14" s="74"/>
    </row>
    <row r="15" spans="2:23" x14ac:dyDescent="0.45">
      <c r="G15" s="72" t="s">
        <v>108</v>
      </c>
      <c r="J15" s="74">
        <f>SUM(J12:J14)</f>
        <v>28000</v>
      </c>
      <c r="K15" s="72" t="s">
        <v>125</v>
      </c>
      <c r="V15" s="74"/>
    </row>
    <row r="16" spans="2:23" ht="27" thickBot="1" x14ac:dyDescent="0.5"/>
    <row r="17" spans="2:22" ht="18.600000000000001" customHeight="1" x14ac:dyDescent="0.45">
      <c r="J17" s="76" t="s">
        <v>129</v>
      </c>
      <c r="V17" s="80"/>
    </row>
    <row r="18" spans="2:22" ht="65.400000000000006" customHeight="1" thickBot="1" x14ac:dyDescent="0.5">
      <c r="J18" s="77"/>
    </row>
    <row r="19" spans="2:22" ht="27" customHeight="1" x14ac:dyDescent="0.45">
      <c r="F19" s="73" t="s">
        <v>132</v>
      </c>
      <c r="G19" s="73"/>
      <c r="S19" s="73"/>
    </row>
    <row r="20" spans="2:22" ht="27" customHeight="1" x14ac:dyDescent="0.45">
      <c r="G20" s="73"/>
      <c r="S20" s="73"/>
    </row>
    <row r="21" spans="2:22" x14ac:dyDescent="0.45">
      <c r="C21" s="75" t="s">
        <v>133</v>
      </c>
      <c r="F21" s="75" t="s">
        <v>160</v>
      </c>
      <c r="O21" s="75"/>
    </row>
    <row r="22" spans="2:22" x14ac:dyDescent="0.45">
      <c r="G22" s="75" t="s">
        <v>128</v>
      </c>
      <c r="S22" s="75"/>
    </row>
    <row r="24" spans="2:22" x14ac:dyDescent="0.45">
      <c r="C24" s="78" t="s">
        <v>130</v>
      </c>
      <c r="O24" s="78"/>
    </row>
    <row r="29" spans="2:22" ht="28.8" x14ac:dyDescent="0.45">
      <c r="B29" s="79">
        <v>2</v>
      </c>
      <c r="C29" s="79" t="s">
        <v>120</v>
      </c>
      <c r="D29" s="79"/>
      <c r="J29" s="98" t="str">
        <f>J2</f>
        <v>2024.8.20</v>
      </c>
      <c r="N29" s="79"/>
      <c r="O29" s="79"/>
      <c r="P29" s="79"/>
      <c r="V29" s="73"/>
    </row>
    <row r="30" spans="2:22" ht="24" customHeight="1" x14ac:dyDescent="0.45">
      <c r="J30" s="98" t="s">
        <v>126</v>
      </c>
      <c r="V30" s="73"/>
    </row>
    <row r="31" spans="2:22" ht="21.6" customHeight="1" x14ac:dyDescent="0.45">
      <c r="J31" s="98" t="s">
        <v>127</v>
      </c>
      <c r="V31" s="73"/>
    </row>
    <row r="32" spans="2:22" ht="21.6" customHeight="1" x14ac:dyDescent="0.45"/>
    <row r="33" spans="1:23" ht="37.799999999999997" x14ac:dyDescent="0.45">
      <c r="A33" s="81"/>
      <c r="B33" s="81"/>
      <c r="C33" s="81"/>
      <c r="D33" s="81">
        <f>D6</f>
        <v>8</v>
      </c>
      <c r="E33" s="81" t="s">
        <v>131</v>
      </c>
      <c r="F33" s="81"/>
      <c r="G33" s="81"/>
      <c r="H33" s="81"/>
      <c r="I33" s="81"/>
      <c r="J33" s="81"/>
      <c r="K33" s="81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</row>
    <row r="35" spans="1:23" x14ac:dyDescent="0.45">
      <c r="B35" s="72" t="s">
        <v>121</v>
      </c>
    </row>
    <row r="36" spans="1:23" ht="6" customHeight="1" x14ac:dyDescent="0.45"/>
    <row r="37" spans="1:23" x14ac:dyDescent="0.45">
      <c r="B37" s="72">
        <f>D33</f>
        <v>8</v>
      </c>
      <c r="C37" s="72" t="str">
        <f>$C$10</f>
        <v>今月の徴収明細は以下の通りです。</v>
      </c>
    </row>
    <row r="39" spans="1:23" x14ac:dyDescent="0.45">
      <c r="C39" s="72" t="s">
        <v>123</v>
      </c>
      <c r="F39" s="72">
        <f>$F$12</f>
        <v>2000</v>
      </c>
      <c r="G39" s="72" t="s">
        <v>124</v>
      </c>
      <c r="H39" s="72">
        <f>徴収内訳!$F$3</f>
        <v>11</v>
      </c>
      <c r="I39" s="72" t="s">
        <v>117</v>
      </c>
      <c r="J39" s="74">
        <f>F39*H39</f>
        <v>22000</v>
      </c>
      <c r="K39" s="72" t="s">
        <v>125</v>
      </c>
      <c r="V39" s="74"/>
    </row>
    <row r="40" spans="1:23" x14ac:dyDescent="0.45">
      <c r="J40" s="74"/>
      <c r="V40" s="74"/>
    </row>
    <row r="41" spans="1:23" x14ac:dyDescent="0.45">
      <c r="J41" s="74"/>
      <c r="V41" s="74"/>
    </row>
    <row r="42" spans="1:23" x14ac:dyDescent="0.45">
      <c r="G42" s="72" t="s">
        <v>108</v>
      </c>
      <c r="J42" s="74">
        <f>SUM(J39:J41)</f>
        <v>22000</v>
      </c>
      <c r="K42" s="72" t="s">
        <v>125</v>
      </c>
      <c r="V42" s="74"/>
    </row>
    <row r="43" spans="1:23" ht="27" thickBot="1" x14ac:dyDescent="0.5"/>
    <row r="44" spans="1:23" ht="18.600000000000001" customHeight="1" x14ac:dyDescent="0.45">
      <c r="J44" s="76" t="s">
        <v>129</v>
      </c>
      <c r="V44" s="80"/>
    </row>
    <row r="45" spans="1:23" ht="65.400000000000006" customHeight="1" thickBot="1" x14ac:dyDescent="0.5">
      <c r="J45" s="77"/>
    </row>
    <row r="46" spans="1:23" ht="27" customHeight="1" x14ac:dyDescent="0.45">
      <c r="F46" s="73" t="s">
        <v>132</v>
      </c>
      <c r="G46" s="73"/>
      <c r="S46" s="73"/>
    </row>
    <row r="47" spans="1:23" ht="27" customHeight="1" x14ac:dyDescent="0.45">
      <c r="G47" s="73"/>
      <c r="S47" s="73"/>
    </row>
    <row r="48" spans="1:23" x14ac:dyDescent="0.45">
      <c r="C48" s="75" t="s">
        <v>133</v>
      </c>
      <c r="F48" s="75" t="str">
        <f>F21</f>
        <v>８月２６日（月） １８：３０以降</v>
      </c>
      <c r="O48" s="75"/>
    </row>
    <row r="49" spans="1:23" x14ac:dyDescent="0.45">
      <c r="G49" s="75" t="s">
        <v>128</v>
      </c>
      <c r="S49" s="75"/>
    </row>
    <row r="51" spans="1:23" x14ac:dyDescent="0.45">
      <c r="C51" s="78" t="s">
        <v>130</v>
      </c>
      <c r="O51" s="78"/>
    </row>
    <row r="56" spans="1:23" ht="28.8" x14ac:dyDescent="0.45">
      <c r="B56" s="79">
        <v>3</v>
      </c>
      <c r="C56" s="79" t="s">
        <v>120</v>
      </c>
      <c r="D56" s="79"/>
      <c r="J56" s="98" t="str">
        <f>J2</f>
        <v>2024.8.20</v>
      </c>
      <c r="N56" s="79"/>
      <c r="O56" s="79"/>
      <c r="P56" s="79"/>
      <c r="V56" s="73"/>
    </row>
    <row r="57" spans="1:23" ht="24" customHeight="1" x14ac:dyDescent="0.45">
      <c r="J57" s="98" t="s">
        <v>126</v>
      </c>
      <c r="V57" s="73"/>
    </row>
    <row r="58" spans="1:23" ht="21.6" customHeight="1" x14ac:dyDescent="0.45">
      <c r="J58" s="98" t="s">
        <v>127</v>
      </c>
      <c r="V58" s="73"/>
    </row>
    <row r="59" spans="1:23" ht="21.6" customHeight="1" x14ac:dyDescent="0.45"/>
    <row r="60" spans="1:23" ht="37.799999999999997" x14ac:dyDescent="0.45">
      <c r="A60" s="81"/>
      <c r="B60" s="81"/>
      <c r="C60" s="81"/>
      <c r="D60" s="81">
        <f>D6</f>
        <v>8</v>
      </c>
      <c r="E60" s="81" t="s">
        <v>131</v>
      </c>
      <c r="F60" s="81"/>
      <c r="G60" s="81"/>
      <c r="H60" s="81"/>
      <c r="I60" s="81"/>
      <c r="J60" s="81"/>
      <c r="K60" s="81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</row>
    <row r="62" spans="1:23" x14ac:dyDescent="0.45">
      <c r="B62" s="72" t="s">
        <v>121</v>
      </c>
    </row>
    <row r="63" spans="1:23" ht="6" customHeight="1" x14ac:dyDescent="0.45"/>
    <row r="64" spans="1:23" x14ac:dyDescent="0.45">
      <c r="B64" s="72">
        <f>D60</f>
        <v>8</v>
      </c>
      <c r="C64" s="72" t="str">
        <f>$C$10</f>
        <v>今月の徴収明細は以下の通りです。</v>
      </c>
    </row>
    <row r="66" spans="3:22" x14ac:dyDescent="0.45">
      <c r="C66" s="72" t="s">
        <v>123</v>
      </c>
      <c r="F66" s="72">
        <f>$F$12</f>
        <v>2000</v>
      </c>
      <c r="G66" s="72" t="s">
        <v>124</v>
      </c>
      <c r="H66" s="72">
        <f>徴収内訳!$G$3</f>
        <v>16</v>
      </c>
      <c r="I66" s="72" t="s">
        <v>117</v>
      </c>
      <c r="J66" s="74">
        <f>F66*H66</f>
        <v>32000</v>
      </c>
      <c r="K66" s="72" t="s">
        <v>125</v>
      </c>
      <c r="V66" s="74"/>
    </row>
    <row r="67" spans="3:22" x14ac:dyDescent="0.45">
      <c r="J67" s="74"/>
      <c r="V67" s="74"/>
    </row>
    <row r="68" spans="3:22" x14ac:dyDescent="0.45">
      <c r="J68" s="74"/>
      <c r="V68" s="74"/>
    </row>
    <row r="69" spans="3:22" x14ac:dyDescent="0.45">
      <c r="G69" s="72" t="s">
        <v>108</v>
      </c>
      <c r="J69" s="74">
        <f>SUM(J66:J68)</f>
        <v>32000</v>
      </c>
      <c r="K69" s="72" t="s">
        <v>125</v>
      </c>
      <c r="V69" s="74"/>
    </row>
    <row r="70" spans="3:22" ht="27" thickBot="1" x14ac:dyDescent="0.5"/>
    <row r="71" spans="3:22" ht="18.600000000000001" customHeight="1" x14ac:dyDescent="0.45">
      <c r="J71" s="76" t="s">
        <v>129</v>
      </c>
      <c r="V71" s="80"/>
    </row>
    <row r="72" spans="3:22" ht="65.400000000000006" customHeight="1" thickBot="1" x14ac:dyDescent="0.5">
      <c r="J72" s="77"/>
    </row>
    <row r="73" spans="3:22" ht="27" customHeight="1" x14ac:dyDescent="0.45">
      <c r="F73" s="73" t="s">
        <v>132</v>
      </c>
      <c r="G73" s="73"/>
      <c r="S73" s="73"/>
    </row>
    <row r="74" spans="3:22" ht="27" customHeight="1" x14ac:dyDescent="0.45">
      <c r="G74" s="73"/>
      <c r="S74" s="73"/>
    </row>
    <row r="75" spans="3:22" x14ac:dyDescent="0.45">
      <c r="C75" s="75" t="s">
        <v>133</v>
      </c>
      <c r="F75" s="75" t="str">
        <f>F21</f>
        <v>８月２６日（月） １８：３０以降</v>
      </c>
      <c r="O75" s="75"/>
    </row>
    <row r="76" spans="3:22" x14ac:dyDescent="0.45">
      <c r="G76" s="75" t="s">
        <v>128</v>
      </c>
      <c r="S76" s="75"/>
    </row>
    <row r="78" spans="3:22" x14ac:dyDescent="0.45">
      <c r="C78" s="78" t="s">
        <v>130</v>
      </c>
      <c r="O78" s="78"/>
    </row>
    <row r="79" spans="3:22" x14ac:dyDescent="0.45">
      <c r="C79" s="78"/>
      <c r="O79" s="78"/>
    </row>
    <row r="83" spans="1:23" ht="28.8" x14ac:dyDescent="0.45">
      <c r="B83" s="79">
        <v>4</v>
      </c>
      <c r="C83" s="79" t="s">
        <v>120</v>
      </c>
      <c r="D83" s="79"/>
      <c r="J83" s="98" t="str">
        <f>J2</f>
        <v>2024.8.20</v>
      </c>
      <c r="N83" s="79"/>
      <c r="O83" s="79"/>
      <c r="P83" s="79"/>
      <c r="V83" s="73"/>
    </row>
    <row r="84" spans="1:23" ht="24" customHeight="1" x14ac:dyDescent="0.45">
      <c r="J84" s="98" t="s">
        <v>126</v>
      </c>
      <c r="V84" s="73"/>
    </row>
    <row r="85" spans="1:23" ht="21.6" customHeight="1" x14ac:dyDescent="0.45">
      <c r="J85" s="98" t="s">
        <v>127</v>
      </c>
      <c r="V85" s="73"/>
    </row>
    <row r="86" spans="1:23" ht="21.6" customHeight="1" x14ac:dyDescent="0.45"/>
    <row r="87" spans="1:23" ht="37.799999999999997" x14ac:dyDescent="0.45">
      <c r="A87" s="81"/>
      <c r="B87" s="81"/>
      <c r="C87" s="81"/>
      <c r="D87" s="81">
        <f>D6</f>
        <v>8</v>
      </c>
      <c r="E87" s="81" t="s">
        <v>131</v>
      </c>
      <c r="F87" s="81"/>
      <c r="G87" s="81"/>
      <c r="H87" s="81"/>
      <c r="I87" s="81"/>
      <c r="J87" s="81"/>
      <c r="K87" s="81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</row>
    <row r="89" spans="1:23" x14ac:dyDescent="0.45">
      <c r="B89" s="72" t="s">
        <v>121</v>
      </c>
    </row>
    <row r="90" spans="1:23" ht="6" customHeight="1" x14ac:dyDescent="0.45"/>
    <row r="91" spans="1:23" x14ac:dyDescent="0.45">
      <c r="B91" s="72">
        <f>D87</f>
        <v>8</v>
      </c>
      <c r="C91" s="72" t="str">
        <f>$C$10</f>
        <v>今月の徴収明細は以下の通りです。</v>
      </c>
    </row>
    <row r="93" spans="1:23" x14ac:dyDescent="0.45">
      <c r="C93" s="72" t="s">
        <v>123</v>
      </c>
      <c r="F93" s="72">
        <f>$F$12</f>
        <v>2000</v>
      </c>
      <c r="G93" s="72" t="s">
        <v>124</v>
      </c>
      <c r="H93" s="72">
        <f>徴収内訳!$H$3</f>
        <v>12</v>
      </c>
      <c r="I93" s="72" t="s">
        <v>117</v>
      </c>
      <c r="J93" s="74">
        <f>F93*H93</f>
        <v>24000</v>
      </c>
      <c r="K93" s="72" t="s">
        <v>125</v>
      </c>
      <c r="V93" s="74"/>
    </row>
    <row r="94" spans="1:23" x14ac:dyDescent="0.45">
      <c r="J94" s="74"/>
      <c r="V94" s="74"/>
    </row>
    <row r="95" spans="1:23" x14ac:dyDescent="0.45">
      <c r="J95" s="74"/>
      <c r="V95" s="74"/>
    </row>
    <row r="96" spans="1:23" x14ac:dyDescent="0.45">
      <c r="G96" s="72" t="s">
        <v>108</v>
      </c>
      <c r="J96" s="74">
        <f>SUM(J93:J95)</f>
        <v>24000</v>
      </c>
      <c r="K96" s="72" t="s">
        <v>125</v>
      </c>
      <c r="V96" s="74"/>
    </row>
    <row r="97" spans="3:22" ht="27" thickBot="1" x14ac:dyDescent="0.5"/>
    <row r="98" spans="3:22" ht="18.600000000000001" customHeight="1" x14ac:dyDescent="0.45">
      <c r="J98" s="76" t="s">
        <v>129</v>
      </c>
      <c r="V98" s="80"/>
    </row>
    <row r="99" spans="3:22" ht="65.400000000000006" customHeight="1" thickBot="1" x14ac:dyDescent="0.5">
      <c r="J99" s="77"/>
    </row>
    <row r="100" spans="3:22" ht="27" customHeight="1" x14ac:dyDescent="0.45">
      <c r="F100" s="73" t="s">
        <v>132</v>
      </c>
      <c r="G100" s="73"/>
      <c r="S100" s="73"/>
    </row>
    <row r="101" spans="3:22" ht="27" customHeight="1" x14ac:dyDescent="0.45">
      <c r="G101" s="73"/>
      <c r="S101" s="73"/>
    </row>
    <row r="102" spans="3:22" x14ac:dyDescent="0.45">
      <c r="C102" s="75" t="s">
        <v>133</v>
      </c>
      <c r="F102" s="75" t="str">
        <f>F21</f>
        <v>８月２６日（月） １８：３０以降</v>
      </c>
      <c r="O102" s="75"/>
    </row>
    <row r="103" spans="3:22" x14ac:dyDescent="0.45">
      <c r="G103" s="75" t="s">
        <v>128</v>
      </c>
      <c r="S103" s="75"/>
    </row>
    <row r="105" spans="3:22" x14ac:dyDescent="0.45">
      <c r="C105" s="78" t="s">
        <v>130</v>
      </c>
      <c r="O105" s="78"/>
    </row>
  </sheetData>
  <mergeCells count="4">
    <mergeCell ref="M6:W6"/>
    <mergeCell ref="M33:W33"/>
    <mergeCell ref="M60:W60"/>
    <mergeCell ref="M87:W87"/>
  </mergeCells>
  <phoneticPr fontId="1"/>
  <pageMargins left="0.70866141732283472" right="0.31496062992125984" top="0.74803149606299213" bottom="0.74803149606299213" header="0.31496062992125984" footer="0.31496062992125984"/>
  <pageSetup paperSize="9"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3A2E0-1B05-44ED-BA4C-05ECE09B1AEB}">
  <dimension ref="A2:W106"/>
  <sheetViews>
    <sheetView view="pageLayout" topLeftCell="A40" zoomScale="85" zoomScaleNormal="100" zoomScalePageLayoutView="85" workbookViewId="0">
      <selection activeCell="C94" sqref="C94"/>
    </sheetView>
  </sheetViews>
  <sheetFormatPr defaultRowHeight="26.4" x14ac:dyDescent="0.45"/>
  <cols>
    <col min="1" max="1" width="2.59765625" style="72" customWidth="1"/>
    <col min="2" max="2" width="3.5" style="72" customWidth="1"/>
    <col min="3" max="3" width="8.796875" style="72"/>
    <col min="4" max="4" width="5.8984375" style="72" customWidth="1"/>
    <col min="5" max="5" width="13.3984375" style="72" customWidth="1"/>
    <col min="6" max="6" width="10.296875" style="72" customWidth="1"/>
    <col min="7" max="7" width="6.09765625" style="72" customWidth="1"/>
    <col min="8" max="8" width="4.3984375" style="72" customWidth="1"/>
    <col min="9" max="9" width="4.5" style="72" customWidth="1"/>
    <col min="10" max="10" width="13.59765625" style="72" customWidth="1"/>
    <col min="11" max="11" width="10.5" style="72" customWidth="1"/>
    <col min="12" max="12" width="8.796875" style="72"/>
    <col min="13" max="13" width="3.69921875" style="72" customWidth="1"/>
    <col min="14" max="16384" width="8.796875" style="72"/>
  </cols>
  <sheetData>
    <row r="2" spans="2:23" ht="28.8" x14ac:dyDescent="0.45">
      <c r="B2" s="79">
        <v>1</v>
      </c>
      <c r="C2" s="79" t="s">
        <v>120</v>
      </c>
      <c r="D2" s="79"/>
      <c r="J2" s="98" t="s">
        <v>162</v>
      </c>
      <c r="N2" s="79"/>
      <c r="O2" s="79"/>
      <c r="P2" s="79"/>
      <c r="V2" s="73"/>
    </row>
    <row r="3" spans="2:23" ht="24" customHeight="1" x14ac:dyDescent="0.45">
      <c r="J3" s="98" t="s">
        <v>126</v>
      </c>
      <c r="V3" s="73"/>
    </row>
    <row r="4" spans="2:23" ht="21.6" customHeight="1" x14ac:dyDescent="0.45">
      <c r="J4" s="98" t="s">
        <v>127</v>
      </c>
      <c r="V4" s="73"/>
    </row>
    <row r="5" spans="2:23" ht="21.6" customHeight="1" x14ac:dyDescent="0.45"/>
    <row r="6" spans="2:23" ht="37.799999999999997" x14ac:dyDescent="0.45">
      <c r="D6" s="81">
        <v>9</v>
      </c>
      <c r="E6" s="81" t="s">
        <v>131</v>
      </c>
      <c r="F6" s="81"/>
      <c r="G6" s="81"/>
      <c r="H6" s="81"/>
      <c r="I6" s="81"/>
      <c r="J6" s="81"/>
      <c r="K6" s="81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</row>
    <row r="8" spans="2:23" x14ac:dyDescent="0.45">
      <c r="B8" s="72" t="s">
        <v>121</v>
      </c>
    </row>
    <row r="9" spans="2:23" ht="6" customHeight="1" x14ac:dyDescent="0.45"/>
    <row r="10" spans="2:23" x14ac:dyDescent="0.45">
      <c r="B10" s="72">
        <v>9</v>
      </c>
      <c r="C10" s="72" t="s">
        <v>122</v>
      </c>
    </row>
    <row r="12" spans="2:23" x14ac:dyDescent="0.45">
      <c r="C12" s="72" t="s">
        <v>123</v>
      </c>
      <c r="F12" s="72">
        <v>2000</v>
      </c>
      <c r="G12" s="72" t="s">
        <v>124</v>
      </c>
      <c r="H12" s="72">
        <f>徴収内訳!$E$3</f>
        <v>14</v>
      </c>
      <c r="I12" s="72" t="s">
        <v>117</v>
      </c>
      <c r="J12" s="74">
        <f>F12*H12</f>
        <v>28000</v>
      </c>
      <c r="K12" s="72" t="s">
        <v>125</v>
      </c>
      <c r="V12" s="74"/>
    </row>
    <row r="13" spans="2:23" x14ac:dyDescent="0.45">
      <c r="C13" s="72" t="s">
        <v>164</v>
      </c>
      <c r="F13" s="72">
        <v>6500</v>
      </c>
      <c r="G13" s="72" t="s">
        <v>124</v>
      </c>
      <c r="H13" s="72">
        <f>徴収内訳!$E$2</f>
        <v>10</v>
      </c>
      <c r="I13" s="72" t="s">
        <v>117</v>
      </c>
      <c r="J13" s="74">
        <f>F13*H13</f>
        <v>65000</v>
      </c>
      <c r="K13" s="72" t="s">
        <v>125</v>
      </c>
      <c r="V13" s="74"/>
    </row>
    <row r="14" spans="2:23" x14ac:dyDescent="0.45">
      <c r="J14" s="74"/>
      <c r="V14" s="74"/>
    </row>
    <row r="15" spans="2:23" x14ac:dyDescent="0.45">
      <c r="V15" s="74"/>
    </row>
    <row r="16" spans="2:23" x14ac:dyDescent="0.45">
      <c r="G16" s="72" t="s">
        <v>108</v>
      </c>
      <c r="J16" s="74">
        <f>SUM(J12:J14)</f>
        <v>93000</v>
      </c>
      <c r="K16" s="72" t="s">
        <v>125</v>
      </c>
      <c r="V16" s="74"/>
    </row>
    <row r="17" spans="2:22" ht="27" thickBot="1" x14ac:dyDescent="0.5"/>
    <row r="18" spans="2:22" ht="18.600000000000001" customHeight="1" x14ac:dyDescent="0.45">
      <c r="J18" s="76" t="s">
        <v>129</v>
      </c>
      <c r="V18" s="80"/>
    </row>
    <row r="19" spans="2:22" ht="65.400000000000006" customHeight="1" thickBot="1" x14ac:dyDescent="0.5">
      <c r="J19" s="77"/>
    </row>
    <row r="20" spans="2:22" ht="27" customHeight="1" x14ac:dyDescent="0.45">
      <c r="F20" s="73" t="s">
        <v>132</v>
      </c>
      <c r="G20" s="73"/>
      <c r="S20" s="73"/>
    </row>
    <row r="21" spans="2:22" ht="27" customHeight="1" x14ac:dyDescent="0.45">
      <c r="G21" s="73"/>
      <c r="S21" s="73"/>
    </row>
    <row r="22" spans="2:22" x14ac:dyDescent="0.45">
      <c r="C22" s="75" t="s">
        <v>133</v>
      </c>
      <c r="F22" s="75" t="s">
        <v>161</v>
      </c>
      <c r="O22" s="75"/>
    </row>
    <row r="23" spans="2:22" x14ac:dyDescent="0.45">
      <c r="G23" s="75" t="s">
        <v>128</v>
      </c>
      <c r="S23" s="75"/>
    </row>
    <row r="25" spans="2:22" x14ac:dyDescent="0.45">
      <c r="C25" s="78" t="s">
        <v>130</v>
      </c>
      <c r="O25" s="78"/>
    </row>
    <row r="29" spans="2:22" ht="28.8" x14ac:dyDescent="0.45">
      <c r="B29" s="79">
        <v>2</v>
      </c>
      <c r="C29" s="79" t="s">
        <v>120</v>
      </c>
      <c r="D29" s="79"/>
      <c r="J29" s="98" t="str">
        <f>J2</f>
        <v>2024.9.20</v>
      </c>
      <c r="N29" s="79"/>
      <c r="O29" s="79"/>
      <c r="P29" s="79"/>
      <c r="V29" s="73"/>
    </row>
    <row r="30" spans="2:22" ht="24" customHeight="1" x14ac:dyDescent="0.45">
      <c r="J30" s="98" t="s">
        <v>126</v>
      </c>
      <c r="V30" s="73"/>
    </row>
    <row r="31" spans="2:22" ht="21.6" customHeight="1" x14ac:dyDescent="0.45">
      <c r="J31" s="98" t="s">
        <v>127</v>
      </c>
      <c r="V31" s="73"/>
    </row>
    <row r="32" spans="2:22" ht="21.6" customHeight="1" x14ac:dyDescent="0.45"/>
    <row r="33" spans="1:23" ht="37.799999999999997" x14ac:dyDescent="0.45">
      <c r="A33" s="81"/>
      <c r="B33" s="81"/>
      <c r="C33" s="81"/>
      <c r="D33" s="81">
        <f>D6</f>
        <v>9</v>
      </c>
      <c r="E33" s="81" t="s">
        <v>131</v>
      </c>
      <c r="F33" s="81"/>
      <c r="G33" s="81"/>
      <c r="H33" s="81"/>
      <c r="I33" s="81"/>
      <c r="J33" s="81"/>
      <c r="K33" s="81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</row>
    <row r="35" spans="1:23" x14ac:dyDescent="0.45">
      <c r="B35" s="72" t="s">
        <v>121</v>
      </c>
    </row>
    <row r="36" spans="1:23" ht="6" customHeight="1" x14ac:dyDescent="0.45"/>
    <row r="37" spans="1:23" x14ac:dyDescent="0.45">
      <c r="B37" s="72">
        <v>9</v>
      </c>
      <c r="C37" s="72" t="s">
        <v>122</v>
      </c>
    </row>
    <row r="39" spans="1:23" x14ac:dyDescent="0.45">
      <c r="C39" s="72" t="s">
        <v>123</v>
      </c>
      <c r="F39" s="72">
        <f>$F$12</f>
        <v>2000</v>
      </c>
      <c r="G39" s="72" t="s">
        <v>124</v>
      </c>
      <c r="H39" s="72">
        <f>徴収内訳!$F$3</f>
        <v>11</v>
      </c>
      <c r="I39" s="72" t="s">
        <v>117</v>
      </c>
      <c r="J39" s="74">
        <f>F39*H39</f>
        <v>22000</v>
      </c>
      <c r="K39" s="72" t="s">
        <v>125</v>
      </c>
      <c r="V39" s="74"/>
    </row>
    <row r="40" spans="1:23" x14ac:dyDescent="0.45">
      <c r="C40" s="72" t="s">
        <v>164</v>
      </c>
      <c r="F40" s="72">
        <f>$F$13</f>
        <v>6500</v>
      </c>
      <c r="G40" s="72" t="s">
        <v>124</v>
      </c>
      <c r="H40" s="72">
        <f>徴収内訳!$F$3</f>
        <v>11</v>
      </c>
      <c r="I40" s="72" t="s">
        <v>117</v>
      </c>
      <c r="J40" s="74">
        <f>F40*H40</f>
        <v>71500</v>
      </c>
      <c r="K40" s="72" t="s">
        <v>125</v>
      </c>
      <c r="V40" s="74"/>
    </row>
    <row r="41" spans="1:23" x14ac:dyDescent="0.45">
      <c r="J41" s="74"/>
      <c r="V41" s="74"/>
    </row>
    <row r="42" spans="1:23" x14ac:dyDescent="0.45">
      <c r="J42" s="74"/>
      <c r="V42" s="74"/>
    </row>
    <row r="43" spans="1:23" x14ac:dyDescent="0.45">
      <c r="G43" s="72" t="s">
        <v>108</v>
      </c>
      <c r="J43" s="74">
        <f>SUM(J39:J42)</f>
        <v>93500</v>
      </c>
      <c r="K43" s="72" t="s">
        <v>125</v>
      </c>
      <c r="V43" s="74"/>
    </row>
    <row r="44" spans="1:23" ht="27" thickBot="1" x14ac:dyDescent="0.5"/>
    <row r="45" spans="1:23" ht="18.600000000000001" customHeight="1" x14ac:dyDescent="0.45">
      <c r="J45" s="76" t="s">
        <v>129</v>
      </c>
      <c r="V45" s="80"/>
    </row>
    <row r="46" spans="1:23" ht="65.400000000000006" customHeight="1" thickBot="1" x14ac:dyDescent="0.5">
      <c r="J46" s="77"/>
    </row>
    <row r="47" spans="1:23" ht="27" customHeight="1" x14ac:dyDescent="0.45">
      <c r="F47" s="73" t="s">
        <v>132</v>
      </c>
      <c r="G47" s="73"/>
      <c r="S47" s="73"/>
    </row>
    <row r="48" spans="1:23" ht="27" customHeight="1" x14ac:dyDescent="0.45">
      <c r="G48" s="73"/>
      <c r="S48" s="73"/>
    </row>
    <row r="49" spans="1:23" x14ac:dyDescent="0.45">
      <c r="C49" s="75" t="s">
        <v>133</v>
      </c>
      <c r="F49" s="75" t="str">
        <f>F22</f>
        <v>9月30日（月） １８：３０以降</v>
      </c>
      <c r="O49" s="75"/>
    </row>
    <row r="50" spans="1:23" x14ac:dyDescent="0.45">
      <c r="G50" s="75" t="s">
        <v>128</v>
      </c>
      <c r="S50" s="75"/>
    </row>
    <row r="52" spans="1:23" x14ac:dyDescent="0.45">
      <c r="C52" s="78" t="s">
        <v>130</v>
      </c>
      <c r="O52" s="78"/>
    </row>
    <row r="56" spans="1:23" ht="28.8" x14ac:dyDescent="0.45">
      <c r="B56" s="79">
        <v>3</v>
      </c>
      <c r="C56" s="79" t="s">
        <v>120</v>
      </c>
      <c r="D56" s="79"/>
      <c r="J56" s="98" t="str">
        <f>J2</f>
        <v>2024.9.20</v>
      </c>
      <c r="N56" s="79"/>
      <c r="O56" s="79"/>
      <c r="P56" s="79"/>
      <c r="V56" s="73"/>
    </row>
    <row r="57" spans="1:23" ht="24" customHeight="1" x14ac:dyDescent="0.45">
      <c r="J57" s="98" t="s">
        <v>126</v>
      </c>
      <c r="V57" s="73"/>
    </row>
    <row r="58" spans="1:23" ht="21.6" customHeight="1" x14ac:dyDescent="0.45">
      <c r="J58" s="98" t="s">
        <v>127</v>
      </c>
      <c r="V58" s="73"/>
    </row>
    <row r="59" spans="1:23" ht="21.6" customHeight="1" x14ac:dyDescent="0.45"/>
    <row r="60" spans="1:23" ht="37.799999999999997" x14ac:dyDescent="0.45">
      <c r="A60" s="81"/>
      <c r="B60" s="81"/>
      <c r="C60" s="81"/>
      <c r="D60" s="81">
        <f>D6</f>
        <v>9</v>
      </c>
      <c r="E60" s="81" t="s">
        <v>131</v>
      </c>
      <c r="F60" s="81"/>
      <c r="G60" s="81"/>
      <c r="H60" s="81"/>
      <c r="I60" s="81"/>
      <c r="J60" s="81"/>
      <c r="K60" s="81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</row>
    <row r="62" spans="1:23" x14ac:dyDescent="0.45">
      <c r="B62" s="72" t="s">
        <v>121</v>
      </c>
    </row>
    <row r="63" spans="1:23" ht="6" customHeight="1" x14ac:dyDescent="0.45"/>
    <row r="64" spans="1:23" x14ac:dyDescent="0.45">
      <c r="B64" s="72">
        <v>9</v>
      </c>
      <c r="C64" s="72" t="s">
        <v>122</v>
      </c>
    </row>
    <row r="66" spans="3:22" x14ac:dyDescent="0.45">
      <c r="C66" s="72" t="s">
        <v>123</v>
      </c>
      <c r="F66" s="72">
        <f>$F$12</f>
        <v>2000</v>
      </c>
      <c r="G66" s="72" t="s">
        <v>124</v>
      </c>
      <c r="H66" s="72">
        <f>徴収内訳!$G$3</f>
        <v>16</v>
      </c>
      <c r="I66" s="72" t="s">
        <v>117</v>
      </c>
      <c r="J66" s="74">
        <f>F66*H66</f>
        <v>32000</v>
      </c>
      <c r="K66" s="72" t="s">
        <v>125</v>
      </c>
      <c r="V66" s="74"/>
    </row>
    <row r="67" spans="3:22" x14ac:dyDescent="0.45">
      <c r="C67" s="72" t="s">
        <v>164</v>
      </c>
      <c r="F67" s="72">
        <f>$F$13</f>
        <v>6500</v>
      </c>
      <c r="G67" s="72" t="s">
        <v>124</v>
      </c>
      <c r="H67" s="72">
        <v>14</v>
      </c>
      <c r="I67" s="72" t="s">
        <v>117</v>
      </c>
      <c r="J67" s="74">
        <f>F67*H67</f>
        <v>91000</v>
      </c>
      <c r="K67" s="72" t="s">
        <v>125</v>
      </c>
      <c r="V67" s="74"/>
    </row>
    <row r="68" spans="3:22" x14ac:dyDescent="0.45">
      <c r="J68" s="74"/>
      <c r="V68" s="74"/>
    </row>
    <row r="69" spans="3:22" x14ac:dyDescent="0.45">
      <c r="J69" s="74"/>
      <c r="V69" s="74"/>
    </row>
    <row r="70" spans="3:22" x14ac:dyDescent="0.45">
      <c r="G70" s="72" t="s">
        <v>108</v>
      </c>
      <c r="J70" s="74">
        <f>SUM(J66:J69)</f>
        <v>123000</v>
      </c>
      <c r="K70" s="72" t="s">
        <v>125</v>
      </c>
      <c r="V70" s="74"/>
    </row>
    <row r="71" spans="3:22" ht="27" thickBot="1" x14ac:dyDescent="0.5"/>
    <row r="72" spans="3:22" ht="18.600000000000001" customHeight="1" x14ac:dyDescent="0.45">
      <c r="J72" s="76" t="s">
        <v>129</v>
      </c>
      <c r="V72" s="80"/>
    </row>
    <row r="73" spans="3:22" ht="65.400000000000006" customHeight="1" thickBot="1" x14ac:dyDescent="0.5">
      <c r="J73" s="77"/>
    </row>
    <row r="74" spans="3:22" ht="27" customHeight="1" x14ac:dyDescent="0.45">
      <c r="F74" s="73" t="s">
        <v>132</v>
      </c>
      <c r="G74" s="73"/>
      <c r="S74" s="73"/>
    </row>
    <row r="75" spans="3:22" ht="27" customHeight="1" x14ac:dyDescent="0.45">
      <c r="G75" s="73"/>
      <c r="S75" s="73"/>
    </row>
    <row r="76" spans="3:22" x14ac:dyDescent="0.45">
      <c r="C76" s="75" t="s">
        <v>133</v>
      </c>
      <c r="F76" s="75" t="str">
        <f>F22</f>
        <v>9月30日（月） １８：３０以降</v>
      </c>
      <c r="O76" s="75"/>
    </row>
    <row r="77" spans="3:22" x14ac:dyDescent="0.45">
      <c r="G77" s="75" t="s">
        <v>128</v>
      </c>
      <c r="S77" s="75"/>
    </row>
    <row r="79" spans="3:22" x14ac:dyDescent="0.45">
      <c r="C79" s="78" t="s">
        <v>130</v>
      </c>
      <c r="O79" s="78"/>
    </row>
    <row r="83" spans="1:23" ht="28.8" x14ac:dyDescent="0.45">
      <c r="B83" s="79">
        <v>4</v>
      </c>
      <c r="C83" s="79" t="s">
        <v>120</v>
      </c>
      <c r="D83" s="79"/>
      <c r="J83" s="98" t="str">
        <f>J2</f>
        <v>2024.9.20</v>
      </c>
      <c r="N83" s="79"/>
      <c r="O83" s="79"/>
      <c r="P83" s="79"/>
      <c r="V83" s="73"/>
    </row>
    <row r="84" spans="1:23" ht="24" customHeight="1" x14ac:dyDescent="0.45">
      <c r="J84" s="98" t="s">
        <v>126</v>
      </c>
      <c r="V84" s="73"/>
    </row>
    <row r="85" spans="1:23" ht="21.6" customHeight="1" x14ac:dyDescent="0.45">
      <c r="J85" s="98" t="s">
        <v>127</v>
      </c>
      <c r="V85" s="73"/>
    </row>
    <row r="86" spans="1:23" ht="21.6" customHeight="1" x14ac:dyDescent="0.45"/>
    <row r="87" spans="1:23" ht="37.799999999999997" x14ac:dyDescent="0.45">
      <c r="A87" s="81"/>
      <c r="B87" s="81"/>
      <c r="C87" s="81"/>
      <c r="D87" s="81">
        <f>D6</f>
        <v>9</v>
      </c>
      <c r="E87" s="81" t="s">
        <v>131</v>
      </c>
      <c r="F87" s="81"/>
      <c r="G87" s="81"/>
      <c r="H87" s="81"/>
      <c r="I87" s="81"/>
      <c r="J87" s="81"/>
      <c r="K87" s="81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</row>
    <row r="89" spans="1:23" x14ac:dyDescent="0.45">
      <c r="B89" s="72" t="s">
        <v>121</v>
      </c>
    </row>
    <row r="90" spans="1:23" ht="6" customHeight="1" x14ac:dyDescent="0.45"/>
    <row r="91" spans="1:23" x14ac:dyDescent="0.45">
      <c r="B91" s="72">
        <v>9</v>
      </c>
      <c r="C91" s="72" t="s">
        <v>122</v>
      </c>
    </row>
    <row r="93" spans="1:23" x14ac:dyDescent="0.45">
      <c r="C93" s="72" t="s">
        <v>123</v>
      </c>
      <c r="F93" s="72">
        <f>$F$12</f>
        <v>2000</v>
      </c>
      <c r="G93" s="72" t="s">
        <v>124</v>
      </c>
      <c r="H93" s="72">
        <f>徴収内訳!$H$3</f>
        <v>12</v>
      </c>
      <c r="I93" s="72" t="s">
        <v>117</v>
      </c>
      <c r="J93" s="74">
        <f>F93*H93</f>
        <v>24000</v>
      </c>
      <c r="K93" s="72" t="s">
        <v>125</v>
      </c>
      <c r="V93" s="74"/>
    </row>
    <row r="94" spans="1:23" x14ac:dyDescent="0.45">
      <c r="C94" s="72" t="s">
        <v>164</v>
      </c>
      <c r="F94" s="72">
        <f>$F$13</f>
        <v>6500</v>
      </c>
      <c r="G94" s="72" t="s">
        <v>124</v>
      </c>
      <c r="H94" s="72">
        <f>徴収内訳!$H$3</f>
        <v>12</v>
      </c>
      <c r="I94" s="72" t="s">
        <v>117</v>
      </c>
      <c r="J94" s="74">
        <f>F94*H94</f>
        <v>78000</v>
      </c>
      <c r="K94" s="72" t="s">
        <v>125</v>
      </c>
      <c r="V94" s="74"/>
    </row>
    <row r="95" spans="1:23" x14ac:dyDescent="0.45">
      <c r="J95" s="74"/>
      <c r="V95" s="74"/>
    </row>
    <row r="96" spans="1:23" x14ac:dyDescent="0.45">
      <c r="J96" s="74"/>
      <c r="V96" s="74"/>
    </row>
    <row r="97" spans="3:22" x14ac:dyDescent="0.45">
      <c r="G97" s="72" t="s">
        <v>108</v>
      </c>
      <c r="J97" s="74">
        <f>SUM(J93:J96)</f>
        <v>102000</v>
      </c>
      <c r="K97" s="72" t="s">
        <v>125</v>
      </c>
      <c r="V97" s="74"/>
    </row>
    <row r="98" spans="3:22" ht="27" thickBot="1" x14ac:dyDescent="0.5"/>
    <row r="99" spans="3:22" ht="18.600000000000001" customHeight="1" x14ac:dyDescent="0.45">
      <c r="J99" s="76" t="s">
        <v>129</v>
      </c>
      <c r="V99" s="80"/>
    </row>
    <row r="100" spans="3:22" ht="65.400000000000006" customHeight="1" thickBot="1" x14ac:dyDescent="0.5">
      <c r="J100" s="77"/>
    </row>
    <row r="101" spans="3:22" ht="27" customHeight="1" x14ac:dyDescent="0.45">
      <c r="F101" s="73" t="s">
        <v>132</v>
      </c>
      <c r="G101" s="73"/>
      <c r="S101" s="73"/>
    </row>
    <row r="102" spans="3:22" ht="27" customHeight="1" x14ac:dyDescent="0.45">
      <c r="G102" s="73"/>
      <c r="S102" s="73"/>
    </row>
    <row r="103" spans="3:22" x14ac:dyDescent="0.45">
      <c r="C103" s="75" t="s">
        <v>133</v>
      </c>
      <c r="F103" s="75" t="str">
        <f>F22</f>
        <v>9月30日（月） １８：３０以降</v>
      </c>
      <c r="O103" s="75"/>
    </row>
    <row r="104" spans="3:22" x14ac:dyDescent="0.45">
      <c r="G104" s="75" t="s">
        <v>128</v>
      </c>
      <c r="S104" s="75"/>
    </row>
    <row r="106" spans="3:22" x14ac:dyDescent="0.45">
      <c r="C106" s="78" t="s">
        <v>130</v>
      </c>
      <c r="O106" s="78"/>
    </row>
  </sheetData>
  <mergeCells count="4">
    <mergeCell ref="M6:W6"/>
    <mergeCell ref="M33:W33"/>
    <mergeCell ref="M60:W60"/>
    <mergeCell ref="M87:W87"/>
  </mergeCells>
  <phoneticPr fontId="1"/>
  <pageMargins left="0.70866141732283472" right="0.31496062992125984" top="0.74803149606299213" bottom="0.74803149606299213" header="0.31496062992125984" footer="0.31496062992125984"/>
  <pageSetup paperSize="9" orientation="portrait" horizontalDpi="360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4CA28-F1E8-4BB6-B76F-80A28820C9CC}">
  <dimension ref="A2:W106"/>
  <sheetViews>
    <sheetView view="pageLayout" topLeftCell="A13" zoomScale="85" zoomScaleNormal="100" zoomScalePageLayoutView="85" workbookViewId="0">
      <selection activeCell="M2" sqref="M2"/>
    </sheetView>
  </sheetViews>
  <sheetFormatPr defaultRowHeight="26.4" x14ac:dyDescent="0.45"/>
  <cols>
    <col min="1" max="1" width="2.59765625" style="72" customWidth="1"/>
    <col min="2" max="2" width="4.3984375" style="72" customWidth="1"/>
    <col min="3" max="3" width="8.796875" style="72"/>
    <col min="4" max="4" width="7.3984375" style="72" customWidth="1"/>
    <col min="5" max="5" width="11.8984375" style="72" customWidth="1"/>
    <col min="6" max="6" width="9" style="72" customWidth="1"/>
    <col min="7" max="7" width="6.09765625" style="72" customWidth="1"/>
    <col min="8" max="8" width="4.3984375" style="72" customWidth="1"/>
    <col min="9" max="9" width="4.5" style="72" customWidth="1"/>
    <col min="10" max="10" width="13.59765625" style="72" customWidth="1"/>
    <col min="11" max="11" width="10.5" style="72" customWidth="1"/>
    <col min="12" max="12" width="8.796875" style="72"/>
    <col min="13" max="13" width="3.69921875" style="72" customWidth="1"/>
    <col min="14" max="16384" width="8.796875" style="72"/>
  </cols>
  <sheetData>
    <row r="2" spans="2:23" ht="28.8" x14ac:dyDescent="0.45">
      <c r="B2" s="79">
        <v>1</v>
      </c>
      <c r="C2" s="79" t="s">
        <v>120</v>
      </c>
      <c r="D2" s="79"/>
      <c r="J2" s="98" t="s">
        <v>167</v>
      </c>
      <c r="N2" s="79"/>
      <c r="O2" s="79"/>
      <c r="P2" s="79"/>
      <c r="V2" s="73"/>
    </row>
    <row r="3" spans="2:23" ht="24" customHeight="1" x14ac:dyDescent="0.45">
      <c r="J3" s="98" t="s">
        <v>126</v>
      </c>
      <c r="V3" s="73"/>
    </row>
    <row r="4" spans="2:23" ht="21.6" customHeight="1" x14ac:dyDescent="0.45">
      <c r="J4" s="98" t="s">
        <v>127</v>
      </c>
      <c r="V4" s="73"/>
    </row>
    <row r="5" spans="2:23" ht="21.6" customHeight="1" x14ac:dyDescent="0.45"/>
    <row r="6" spans="2:23" ht="37.799999999999997" x14ac:dyDescent="0.45">
      <c r="D6" s="81">
        <v>10</v>
      </c>
      <c r="E6" s="81" t="s">
        <v>131</v>
      </c>
      <c r="F6" s="81"/>
      <c r="G6" s="81"/>
      <c r="H6" s="81"/>
      <c r="I6" s="81"/>
      <c r="J6" s="81"/>
      <c r="K6" s="81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</row>
    <row r="8" spans="2:23" x14ac:dyDescent="0.45">
      <c r="B8" s="72" t="s">
        <v>121</v>
      </c>
    </row>
    <row r="9" spans="2:23" ht="6" customHeight="1" x14ac:dyDescent="0.45"/>
    <row r="10" spans="2:23" x14ac:dyDescent="0.45">
      <c r="B10" s="72">
        <v>10</v>
      </c>
      <c r="C10" s="72" t="s">
        <v>122</v>
      </c>
    </row>
    <row r="12" spans="2:23" x14ac:dyDescent="0.45">
      <c r="C12" s="72" t="s">
        <v>123</v>
      </c>
      <c r="F12" s="72">
        <v>2000</v>
      </c>
      <c r="G12" s="72" t="s">
        <v>124</v>
      </c>
      <c r="H12" s="72">
        <f>徴収内訳!$E$3</f>
        <v>14</v>
      </c>
      <c r="I12" s="72" t="s">
        <v>117</v>
      </c>
      <c r="J12" s="74">
        <f>F12*H12</f>
        <v>28000</v>
      </c>
      <c r="K12" s="72" t="s">
        <v>125</v>
      </c>
      <c r="V12" s="74"/>
    </row>
    <row r="13" spans="2:23" x14ac:dyDescent="0.45">
      <c r="C13" s="99" t="s">
        <v>165</v>
      </c>
      <c r="F13" s="72">
        <v>2800</v>
      </c>
      <c r="G13" s="72" t="s">
        <v>124</v>
      </c>
      <c r="H13" s="72">
        <v>7</v>
      </c>
      <c r="I13" s="72" t="s">
        <v>117</v>
      </c>
      <c r="J13" s="74">
        <f>F13*H13</f>
        <v>19600</v>
      </c>
      <c r="K13" s="72" t="s">
        <v>125</v>
      </c>
      <c r="V13" s="74"/>
    </row>
    <row r="14" spans="2:23" x14ac:dyDescent="0.45">
      <c r="C14" s="72" t="s">
        <v>166</v>
      </c>
      <c r="F14" s="72">
        <v>600</v>
      </c>
      <c r="G14" s="72" t="s">
        <v>124</v>
      </c>
      <c r="H14" s="72">
        <f>徴収内訳!$E$3</f>
        <v>14</v>
      </c>
      <c r="I14" s="72" t="s">
        <v>117</v>
      </c>
      <c r="J14" s="74">
        <f>F14*H14</f>
        <v>8400</v>
      </c>
      <c r="K14" s="72" t="s">
        <v>125</v>
      </c>
      <c r="V14" s="74"/>
    </row>
    <row r="15" spans="2:23" x14ac:dyDescent="0.45">
      <c r="V15" s="74"/>
    </row>
    <row r="16" spans="2:23" x14ac:dyDescent="0.45">
      <c r="G16" s="72" t="s">
        <v>108</v>
      </c>
      <c r="J16" s="74">
        <f>SUM(J12:J14)</f>
        <v>56000</v>
      </c>
      <c r="K16" s="72" t="s">
        <v>125</v>
      </c>
      <c r="V16" s="74"/>
    </row>
    <row r="17" spans="2:22" ht="27" thickBot="1" x14ac:dyDescent="0.5"/>
    <row r="18" spans="2:22" ht="18.600000000000001" customHeight="1" x14ac:dyDescent="0.45">
      <c r="J18" s="76" t="s">
        <v>129</v>
      </c>
      <c r="V18" s="80"/>
    </row>
    <row r="19" spans="2:22" ht="65.400000000000006" customHeight="1" thickBot="1" x14ac:dyDescent="0.5">
      <c r="J19" s="77"/>
    </row>
    <row r="20" spans="2:22" ht="27" customHeight="1" x14ac:dyDescent="0.45">
      <c r="F20" s="73" t="s">
        <v>132</v>
      </c>
      <c r="G20" s="73"/>
      <c r="S20" s="73"/>
    </row>
    <row r="21" spans="2:22" ht="27" customHeight="1" x14ac:dyDescent="0.45">
      <c r="G21" s="73"/>
      <c r="S21" s="73"/>
    </row>
    <row r="22" spans="2:22" x14ac:dyDescent="0.45">
      <c r="C22" s="75" t="s">
        <v>133</v>
      </c>
      <c r="F22" s="75" t="s">
        <v>168</v>
      </c>
      <c r="O22" s="75"/>
    </row>
    <row r="23" spans="2:22" x14ac:dyDescent="0.45">
      <c r="G23" s="75" t="s">
        <v>128</v>
      </c>
      <c r="S23" s="75"/>
    </row>
    <row r="25" spans="2:22" x14ac:dyDescent="0.45">
      <c r="C25" s="78" t="s">
        <v>130</v>
      </c>
      <c r="O25" s="78"/>
    </row>
    <row r="29" spans="2:22" ht="28.8" x14ac:dyDescent="0.45">
      <c r="B29" s="79">
        <v>2</v>
      </c>
      <c r="C29" s="79" t="s">
        <v>120</v>
      </c>
      <c r="D29" s="79"/>
      <c r="J29" s="98" t="str">
        <f>J2</f>
        <v>2024.10.20</v>
      </c>
      <c r="N29" s="79"/>
      <c r="O29" s="79"/>
      <c r="P29" s="79"/>
      <c r="V29" s="73"/>
    </row>
    <row r="30" spans="2:22" ht="24" customHeight="1" x14ac:dyDescent="0.45">
      <c r="J30" s="98" t="s">
        <v>126</v>
      </c>
      <c r="V30" s="73"/>
    </row>
    <row r="31" spans="2:22" ht="21.6" customHeight="1" x14ac:dyDescent="0.45">
      <c r="J31" s="98" t="s">
        <v>127</v>
      </c>
      <c r="V31" s="73"/>
    </row>
    <row r="32" spans="2:22" ht="21.6" customHeight="1" x14ac:dyDescent="0.45"/>
    <row r="33" spans="1:23" ht="37.799999999999997" x14ac:dyDescent="0.45">
      <c r="A33" s="81"/>
      <c r="B33" s="81"/>
      <c r="C33" s="81"/>
      <c r="D33" s="81">
        <f>D6</f>
        <v>10</v>
      </c>
      <c r="E33" s="81" t="s">
        <v>131</v>
      </c>
      <c r="F33" s="81"/>
      <c r="G33" s="81"/>
      <c r="H33" s="81"/>
      <c r="I33" s="81"/>
      <c r="J33" s="81"/>
      <c r="K33" s="81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</row>
    <row r="35" spans="1:23" x14ac:dyDescent="0.45">
      <c r="B35" s="72" t="s">
        <v>121</v>
      </c>
    </row>
    <row r="36" spans="1:23" ht="6" customHeight="1" x14ac:dyDescent="0.45"/>
    <row r="37" spans="1:23" x14ac:dyDescent="0.45">
      <c r="B37" s="72">
        <f>$B$10</f>
        <v>10</v>
      </c>
      <c r="C37" s="72" t="s">
        <v>122</v>
      </c>
    </row>
    <row r="39" spans="1:23" x14ac:dyDescent="0.45">
      <c r="C39" s="72" t="s">
        <v>123</v>
      </c>
      <c r="F39" s="72">
        <f>$F$12</f>
        <v>2000</v>
      </c>
      <c r="G39" s="72" t="s">
        <v>124</v>
      </c>
      <c r="H39" s="72">
        <f>徴収内訳!$F$3</f>
        <v>11</v>
      </c>
      <c r="I39" s="72" t="s">
        <v>117</v>
      </c>
      <c r="J39" s="74">
        <f>F39*H39</f>
        <v>22000</v>
      </c>
      <c r="K39" s="72" t="s">
        <v>125</v>
      </c>
      <c r="V39" s="74"/>
    </row>
    <row r="40" spans="1:23" x14ac:dyDescent="0.45">
      <c r="C40" s="99" t="s">
        <v>165</v>
      </c>
      <c r="F40" s="72">
        <f>$F$13</f>
        <v>2800</v>
      </c>
      <c r="G40" s="72" t="s">
        <v>124</v>
      </c>
      <c r="H40" s="72">
        <f>徴収内訳!$F$3</f>
        <v>11</v>
      </c>
      <c r="I40" s="72" t="s">
        <v>117</v>
      </c>
      <c r="J40" s="74">
        <f>F40*H40</f>
        <v>30800</v>
      </c>
      <c r="K40" s="72" t="s">
        <v>125</v>
      </c>
      <c r="V40" s="74"/>
    </row>
    <row r="41" spans="1:23" x14ac:dyDescent="0.45">
      <c r="C41" s="99" t="s">
        <v>166</v>
      </c>
      <c r="F41" s="72">
        <f>$F$14</f>
        <v>600</v>
      </c>
      <c r="G41" s="72" t="s">
        <v>124</v>
      </c>
      <c r="H41" s="72">
        <f>徴収内訳!$F$3</f>
        <v>11</v>
      </c>
      <c r="I41" s="72" t="s">
        <v>117</v>
      </c>
      <c r="J41" s="74">
        <f>F41*H41</f>
        <v>6600</v>
      </c>
      <c r="K41" s="72" t="s">
        <v>125</v>
      </c>
      <c r="V41" s="74"/>
    </row>
    <row r="42" spans="1:23" x14ac:dyDescent="0.45">
      <c r="J42" s="74"/>
      <c r="V42" s="74"/>
    </row>
    <row r="43" spans="1:23" x14ac:dyDescent="0.45">
      <c r="G43" s="72" t="s">
        <v>108</v>
      </c>
      <c r="J43" s="74">
        <f>SUM(J39:J42)</f>
        <v>59400</v>
      </c>
      <c r="K43" s="72" t="s">
        <v>125</v>
      </c>
      <c r="V43" s="74"/>
    </row>
    <row r="44" spans="1:23" ht="27" thickBot="1" x14ac:dyDescent="0.5"/>
    <row r="45" spans="1:23" ht="18.600000000000001" customHeight="1" x14ac:dyDescent="0.45">
      <c r="J45" s="76" t="s">
        <v>129</v>
      </c>
      <c r="V45" s="80"/>
    </row>
    <row r="46" spans="1:23" ht="65.400000000000006" customHeight="1" thickBot="1" x14ac:dyDescent="0.5">
      <c r="J46" s="77"/>
    </row>
    <row r="47" spans="1:23" ht="27" customHeight="1" x14ac:dyDescent="0.45">
      <c r="F47" s="73" t="s">
        <v>132</v>
      </c>
      <c r="G47" s="73"/>
      <c r="S47" s="73"/>
    </row>
    <row r="48" spans="1:23" ht="27" customHeight="1" x14ac:dyDescent="0.45">
      <c r="G48" s="73"/>
      <c r="S48" s="73"/>
    </row>
    <row r="49" spans="1:23" x14ac:dyDescent="0.45">
      <c r="C49" s="75" t="s">
        <v>133</v>
      </c>
      <c r="F49" s="75" t="str">
        <f>F22</f>
        <v>10月28日（月） １８：３０以降</v>
      </c>
      <c r="O49" s="75"/>
    </row>
    <row r="50" spans="1:23" x14ac:dyDescent="0.45">
      <c r="G50" s="75" t="s">
        <v>128</v>
      </c>
      <c r="S50" s="75"/>
    </row>
    <row r="52" spans="1:23" x14ac:dyDescent="0.45">
      <c r="C52" s="78" t="s">
        <v>130</v>
      </c>
      <c r="O52" s="78"/>
    </row>
    <row r="56" spans="1:23" ht="28.8" x14ac:dyDescent="0.45">
      <c r="B56" s="79">
        <v>3</v>
      </c>
      <c r="C56" s="79" t="s">
        <v>120</v>
      </c>
      <c r="D56" s="79"/>
      <c r="J56" s="98" t="str">
        <f>J2</f>
        <v>2024.10.20</v>
      </c>
      <c r="N56" s="79"/>
      <c r="O56" s="79"/>
      <c r="P56" s="79"/>
      <c r="V56" s="73"/>
    </row>
    <row r="57" spans="1:23" ht="24" customHeight="1" x14ac:dyDescent="0.45">
      <c r="J57" s="98" t="s">
        <v>126</v>
      </c>
      <c r="V57" s="73"/>
    </row>
    <row r="58" spans="1:23" ht="21.6" customHeight="1" x14ac:dyDescent="0.45">
      <c r="J58" s="98" t="s">
        <v>127</v>
      </c>
      <c r="V58" s="73"/>
    </row>
    <row r="59" spans="1:23" ht="21.6" customHeight="1" x14ac:dyDescent="0.45"/>
    <row r="60" spans="1:23" ht="37.799999999999997" x14ac:dyDescent="0.45">
      <c r="A60" s="81"/>
      <c r="B60" s="81"/>
      <c r="C60" s="81"/>
      <c r="D60" s="81">
        <f>D6</f>
        <v>10</v>
      </c>
      <c r="E60" s="81" t="s">
        <v>131</v>
      </c>
      <c r="F60" s="81"/>
      <c r="G60" s="81"/>
      <c r="H60" s="81"/>
      <c r="I60" s="81"/>
      <c r="J60" s="81"/>
      <c r="K60" s="81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</row>
    <row r="62" spans="1:23" x14ac:dyDescent="0.45">
      <c r="B62" s="72" t="s">
        <v>121</v>
      </c>
    </row>
    <row r="63" spans="1:23" ht="6" customHeight="1" x14ac:dyDescent="0.45"/>
    <row r="64" spans="1:23" x14ac:dyDescent="0.45">
      <c r="B64" s="72">
        <f>$B$10</f>
        <v>10</v>
      </c>
      <c r="C64" s="72" t="s">
        <v>122</v>
      </c>
    </row>
    <row r="66" spans="3:22" x14ac:dyDescent="0.45">
      <c r="C66" s="72" t="s">
        <v>123</v>
      </c>
      <c r="F66" s="72">
        <f>$F$12</f>
        <v>2000</v>
      </c>
      <c r="G66" s="72" t="s">
        <v>124</v>
      </c>
      <c r="H66" s="72">
        <f>徴収内訳!$G$3</f>
        <v>16</v>
      </c>
      <c r="I66" s="72" t="s">
        <v>117</v>
      </c>
      <c r="J66" s="74">
        <f>F66*H66</f>
        <v>32000</v>
      </c>
      <c r="K66" s="72" t="s">
        <v>125</v>
      </c>
      <c r="V66" s="74"/>
    </row>
    <row r="67" spans="3:22" x14ac:dyDescent="0.45">
      <c r="C67" s="99" t="s">
        <v>165</v>
      </c>
      <c r="F67" s="72">
        <f>$F$13</f>
        <v>2800</v>
      </c>
      <c r="G67" s="72" t="s">
        <v>124</v>
      </c>
      <c r="H67" s="72">
        <v>15</v>
      </c>
      <c r="I67" s="72" t="s">
        <v>117</v>
      </c>
      <c r="J67" s="74">
        <f>F67*H67</f>
        <v>42000</v>
      </c>
      <c r="K67" s="72" t="s">
        <v>125</v>
      </c>
      <c r="V67" s="74"/>
    </row>
    <row r="68" spans="3:22" x14ac:dyDescent="0.45">
      <c r="C68" s="99" t="s">
        <v>166</v>
      </c>
      <c r="F68" s="72">
        <f>$F$41</f>
        <v>600</v>
      </c>
      <c r="G68" s="72" t="s">
        <v>124</v>
      </c>
      <c r="H68" s="72">
        <v>16</v>
      </c>
      <c r="I68" s="72" t="s">
        <v>117</v>
      </c>
      <c r="J68" s="74">
        <f>F68*H68</f>
        <v>9600</v>
      </c>
      <c r="K68" s="72" t="s">
        <v>125</v>
      </c>
      <c r="V68" s="74"/>
    </row>
    <row r="69" spans="3:22" x14ac:dyDescent="0.45">
      <c r="J69" s="74"/>
      <c r="V69" s="74"/>
    </row>
    <row r="70" spans="3:22" x14ac:dyDescent="0.45">
      <c r="G70" s="72" t="s">
        <v>108</v>
      </c>
      <c r="J70" s="74">
        <f>SUM(J66:J69)</f>
        <v>83600</v>
      </c>
      <c r="K70" s="72" t="s">
        <v>125</v>
      </c>
      <c r="V70" s="74"/>
    </row>
    <row r="71" spans="3:22" ht="27" thickBot="1" x14ac:dyDescent="0.5"/>
    <row r="72" spans="3:22" ht="18.600000000000001" customHeight="1" x14ac:dyDescent="0.45">
      <c r="J72" s="76" t="s">
        <v>129</v>
      </c>
      <c r="V72" s="80"/>
    </row>
    <row r="73" spans="3:22" ht="65.400000000000006" customHeight="1" thickBot="1" x14ac:dyDescent="0.5">
      <c r="J73" s="77"/>
    </row>
    <row r="74" spans="3:22" ht="27" customHeight="1" x14ac:dyDescent="0.45">
      <c r="F74" s="73" t="s">
        <v>132</v>
      </c>
      <c r="G74" s="73"/>
      <c r="S74" s="73"/>
    </row>
    <row r="75" spans="3:22" ht="27" customHeight="1" x14ac:dyDescent="0.45">
      <c r="G75" s="73"/>
      <c r="S75" s="73"/>
    </row>
    <row r="76" spans="3:22" x14ac:dyDescent="0.45">
      <c r="C76" s="75" t="s">
        <v>133</v>
      </c>
      <c r="F76" s="75" t="str">
        <f>F22</f>
        <v>10月28日（月） １８：３０以降</v>
      </c>
      <c r="O76" s="75"/>
    </row>
    <row r="77" spans="3:22" x14ac:dyDescent="0.45">
      <c r="G77" s="75" t="s">
        <v>128</v>
      </c>
      <c r="S77" s="75"/>
    </row>
    <row r="79" spans="3:22" x14ac:dyDescent="0.45">
      <c r="C79" s="78" t="s">
        <v>130</v>
      </c>
      <c r="O79" s="78"/>
    </row>
    <row r="83" spans="1:23" ht="28.8" x14ac:dyDescent="0.45">
      <c r="B83" s="79">
        <v>4</v>
      </c>
      <c r="C83" s="79" t="s">
        <v>120</v>
      </c>
      <c r="D83" s="79"/>
      <c r="J83" s="98" t="str">
        <f>J2</f>
        <v>2024.10.20</v>
      </c>
      <c r="N83" s="79"/>
      <c r="O83" s="79"/>
      <c r="P83" s="79"/>
      <c r="V83" s="73"/>
    </row>
    <row r="84" spans="1:23" ht="24" customHeight="1" x14ac:dyDescent="0.45">
      <c r="J84" s="98" t="s">
        <v>126</v>
      </c>
      <c r="V84" s="73"/>
    </row>
    <row r="85" spans="1:23" ht="21.6" customHeight="1" x14ac:dyDescent="0.45">
      <c r="J85" s="98" t="s">
        <v>127</v>
      </c>
      <c r="V85" s="73"/>
    </row>
    <row r="86" spans="1:23" ht="21.6" customHeight="1" x14ac:dyDescent="0.45"/>
    <row r="87" spans="1:23" ht="37.799999999999997" x14ac:dyDescent="0.45">
      <c r="A87" s="81"/>
      <c r="B87" s="81"/>
      <c r="C87" s="81"/>
      <c r="D87" s="81">
        <f>D6</f>
        <v>10</v>
      </c>
      <c r="E87" s="81" t="s">
        <v>131</v>
      </c>
      <c r="F87" s="81"/>
      <c r="G87" s="81"/>
      <c r="H87" s="81"/>
      <c r="I87" s="81"/>
      <c r="J87" s="81"/>
      <c r="K87" s="81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</row>
    <row r="89" spans="1:23" x14ac:dyDescent="0.45">
      <c r="B89" s="72" t="s">
        <v>121</v>
      </c>
    </row>
    <row r="90" spans="1:23" ht="6" customHeight="1" x14ac:dyDescent="0.45"/>
    <row r="91" spans="1:23" x14ac:dyDescent="0.45">
      <c r="B91" s="72">
        <f>$B$10</f>
        <v>10</v>
      </c>
      <c r="C91" s="72" t="s">
        <v>122</v>
      </c>
    </row>
    <row r="93" spans="1:23" x14ac:dyDescent="0.45">
      <c r="C93" s="72" t="s">
        <v>123</v>
      </c>
      <c r="F93" s="72">
        <f>$F$12</f>
        <v>2000</v>
      </c>
      <c r="G93" s="72" t="s">
        <v>124</v>
      </c>
      <c r="H93" s="72">
        <f>徴収内訳!$H$3</f>
        <v>12</v>
      </c>
      <c r="I93" s="72" t="s">
        <v>117</v>
      </c>
      <c r="J93" s="74">
        <f>F93*H93</f>
        <v>24000</v>
      </c>
      <c r="K93" s="72" t="s">
        <v>125</v>
      </c>
      <c r="V93" s="74"/>
    </row>
    <row r="94" spans="1:23" x14ac:dyDescent="0.45">
      <c r="C94" s="99" t="s">
        <v>165</v>
      </c>
      <c r="F94" s="72">
        <f>$F$13</f>
        <v>2800</v>
      </c>
      <c r="G94" s="72" t="s">
        <v>124</v>
      </c>
      <c r="H94" s="72">
        <v>11</v>
      </c>
      <c r="I94" s="72" t="s">
        <v>117</v>
      </c>
      <c r="J94" s="74">
        <f>F94*H94</f>
        <v>30800</v>
      </c>
      <c r="K94" s="72" t="s">
        <v>125</v>
      </c>
      <c r="V94" s="74"/>
    </row>
    <row r="95" spans="1:23" x14ac:dyDescent="0.45">
      <c r="C95" s="99" t="s">
        <v>166</v>
      </c>
      <c r="F95" s="72">
        <f>$F$68</f>
        <v>600</v>
      </c>
      <c r="G95" s="72" t="s">
        <v>124</v>
      </c>
      <c r="H95" s="72">
        <v>12</v>
      </c>
      <c r="I95" s="72" t="s">
        <v>117</v>
      </c>
      <c r="J95" s="74">
        <f>F95*H95</f>
        <v>7200</v>
      </c>
      <c r="K95" s="72" t="s">
        <v>125</v>
      </c>
      <c r="V95" s="74"/>
    </row>
    <row r="96" spans="1:23" x14ac:dyDescent="0.45">
      <c r="J96" s="74"/>
      <c r="V96" s="74"/>
    </row>
    <row r="97" spans="3:22" x14ac:dyDescent="0.45">
      <c r="G97" s="72" t="s">
        <v>108</v>
      </c>
      <c r="J97" s="74">
        <f>SUM(J93:J96)</f>
        <v>62000</v>
      </c>
      <c r="K97" s="72" t="s">
        <v>125</v>
      </c>
      <c r="V97" s="74"/>
    </row>
    <row r="98" spans="3:22" ht="27" thickBot="1" x14ac:dyDescent="0.5"/>
    <row r="99" spans="3:22" ht="18.600000000000001" customHeight="1" x14ac:dyDescent="0.45">
      <c r="J99" s="76" t="s">
        <v>129</v>
      </c>
      <c r="V99" s="80"/>
    </row>
    <row r="100" spans="3:22" ht="65.400000000000006" customHeight="1" thickBot="1" x14ac:dyDescent="0.5">
      <c r="J100" s="77"/>
    </row>
    <row r="101" spans="3:22" ht="27" customHeight="1" x14ac:dyDescent="0.45">
      <c r="F101" s="73" t="s">
        <v>132</v>
      </c>
      <c r="G101" s="73"/>
      <c r="S101" s="73"/>
    </row>
    <row r="102" spans="3:22" ht="27" customHeight="1" x14ac:dyDescent="0.45">
      <c r="G102" s="73"/>
      <c r="S102" s="73"/>
    </row>
    <row r="103" spans="3:22" x14ac:dyDescent="0.45">
      <c r="C103" s="75" t="s">
        <v>133</v>
      </c>
      <c r="F103" s="75" t="str">
        <f>F22</f>
        <v>10月28日（月） １８：３０以降</v>
      </c>
      <c r="O103" s="75"/>
    </row>
    <row r="104" spans="3:22" x14ac:dyDescent="0.45">
      <c r="G104" s="75" t="s">
        <v>128</v>
      </c>
      <c r="S104" s="75"/>
    </row>
    <row r="106" spans="3:22" x14ac:dyDescent="0.45">
      <c r="C106" s="78" t="s">
        <v>130</v>
      </c>
      <c r="O106" s="78"/>
    </row>
  </sheetData>
  <mergeCells count="4">
    <mergeCell ref="M6:W6"/>
    <mergeCell ref="M33:W33"/>
    <mergeCell ref="M60:W60"/>
    <mergeCell ref="M87:W87"/>
  </mergeCells>
  <phoneticPr fontId="1"/>
  <pageMargins left="0.70866141732283472" right="0.31496062992125984" top="0.74803149606299213" bottom="0.74803149606299213" header="0.31496062992125984" footer="0.31496062992125984"/>
  <pageSetup paperSize="9" orientation="portrait" horizontalDpi="360" verticalDpi="36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4C16B-2281-4B34-8F30-73AE06BCF317}">
  <dimension ref="A2:W105"/>
  <sheetViews>
    <sheetView view="pageLayout" zoomScale="86" zoomScaleNormal="100" zoomScaleSheetLayoutView="85" zoomScalePageLayoutView="86" workbookViewId="0">
      <selection activeCell="J36" sqref="J36"/>
    </sheetView>
  </sheetViews>
  <sheetFormatPr defaultRowHeight="26.4" x14ac:dyDescent="0.45"/>
  <cols>
    <col min="1" max="1" width="2.59765625" style="72" customWidth="1"/>
    <col min="2" max="2" width="2.19921875" style="72" customWidth="1"/>
    <col min="3" max="3" width="8.796875" style="72"/>
    <col min="4" max="4" width="7.796875" style="72" customWidth="1"/>
    <col min="5" max="5" width="12.59765625" style="72" customWidth="1"/>
    <col min="6" max="6" width="8.59765625" style="72" customWidth="1"/>
    <col min="7" max="7" width="6.09765625" style="72" customWidth="1"/>
    <col min="8" max="8" width="4.3984375" style="72" customWidth="1"/>
    <col min="9" max="9" width="4.5" style="72" customWidth="1"/>
    <col min="10" max="10" width="14.5" style="72" customWidth="1"/>
    <col min="11" max="11" width="10.5" style="72" customWidth="1"/>
    <col min="12" max="12" width="8.796875" style="72"/>
    <col min="13" max="13" width="3.69921875" style="72" customWidth="1"/>
    <col min="14" max="16384" width="8.796875" style="72"/>
  </cols>
  <sheetData>
    <row r="2" spans="2:23" ht="28.8" x14ac:dyDescent="0.45">
      <c r="B2" s="79">
        <v>1</v>
      </c>
      <c r="C2" s="79" t="s">
        <v>120</v>
      </c>
      <c r="D2" s="79"/>
      <c r="J2" s="98" t="s">
        <v>169</v>
      </c>
      <c r="N2" s="79"/>
      <c r="O2" s="79"/>
      <c r="P2" s="79"/>
      <c r="V2" s="73"/>
    </row>
    <row r="3" spans="2:23" ht="24" customHeight="1" x14ac:dyDescent="0.45">
      <c r="J3" s="98" t="s">
        <v>126</v>
      </c>
      <c r="V3" s="73"/>
    </row>
    <row r="4" spans="2:23" ht="21.6" customHeight="1" x14ac:dyDescent="0.45">
      <c r="J4" s="98" t="s">
        <v>127</v>
      </c>
      <c r="V4" s="73"/>
    </row>
    <row r="5" spans="2:23" ht="21.6" customHeight="1" x14ac:dyDescent="0.45"/>
    <row r="6" spans="2:23" ht="37.799999999999997" x14ac:dyDescent="0.45">
      <c r="D6" s="81">
        <v>11</v>
      </c>
      <c r="E6" s="81" t="s">
        <v>131</v>
      </c>
      <c r="F6" s="81"/>
      <c r="G6" s="81"/>
      <c r="H6" s="81"/>
      <c r="I6" s="81"/>
      <c r="J6" s="81"/>
      <c r="K6" s="81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</row>
    <row r="8" spans="2:23" x14ac:dyDescent="0.45">
      <c r="B8" s="72" t="s">
        <v>121</v>
      </c>
    </row>
    <row r="9" spans="2:23" ht="6" customHeight="1" x14ac:dyDescent="0.45"/>
    <row r="10" spans="2:23" x14ac:dyDescent="0.45">
      <c r="C10" s="72" t="s">
        <v>157</v>
      </c>
    </row>
    <row r="12" spans="2:23" x14ac:dyDescent="0.45">
      <c r="C12" s="72" t="s">
        <v>123</v>
      </c>
      <c r="F12" s="72">
        <v>2000</v>
      </c>
      <c r="G12" s="72" t="s">
        <v>124</v>
      </c>
      <c r="H12" s="72">
        <f>徴収内訳!$E$3</f>
        <v>14</v>
      </c>
      <c r="I12" s="72" t="s">
        <v>117</v>
      </c>
      <c r="J12" s="74">
        <f>F12*H12</f>
        <v>28000</v>
      </c>
      <c r="K12" s="72" t="s">
        <v>125</v>
      </c>
      <c r="V12" s="74"/>
    </row>
    <row r="13" spans="2:23" x14ac:dyDescent="0.45">
      <c r="C13" s="99" t="s">
        <v>170</v>
      </c>
      <c r="F13" s="72">
        <v>400</v>
      </c>
      <c r="G13" s="72" t="s">
        <v>124</v>
      </c>
      <c r="H13" s="72">
        <v>14</v>
      </c>
      <c r="I13" s="72" t="s">
        <v>117</v>
      </c>
      <c r="J13" s="74">
        <f>F13*H13</f>
        <v>5600</v>
      </c>
      <c r="K13" s="72" t="s">
        <v>125</v>
      </c>
      <c r="V13" s="74"/>
    </row>
    <row r="14" spans="2:23" x14ac:dyDescent="0.45">
      <c r="C14" s="99"/>
      <c r="J14" s="74"/>
      <c r="V14" s="74"/>
    </row>
    <row r="15" spans="2:23" x14ac:dyDescent="0.45">
      <c r="G15" s="72" t="s">
        <v>108</v>
      </c>
      <c r="J15" s="74">
        <f>SUM(J12:J14)</f>
        <v>33600</v>
      </c>
      <c r="K15" s="72" t="s">
        <v>125</v>
      </c>
      <c r="V15" s="74"/>
    </row>
    <row r="16" spans="2:23" ht="27" thickBot="1" x14ac:dyDescent="0.5"/>
    <row r="17" spans="2:22" ht="18.600000000000001" customHeight="1" x14ac:dyDescent="0.45">
      <c r="J17" s="76" t="s">
        <v>129</v>
      </c>
      <c r="V17" s="80"/>
    </row>
    <row r="18" spans="2:22" ht="65.400000000000006" customHeight="1" thickBot="1" x14ac:dyDescent="0.5">
      <c r="J18" s="77"/>
    </row>
    <row r="19" spans="2:22" ht="27" customHeight="1" x14ac:dyDescent="0.45">
      <c r="F19" s="73" t="s">
        <v>132</v>
      </c>
      <c r="G19" s="73"/>
      <c r="S19" s="73"/>
    </row>
    <row r="20" spans="2:22" ht="27" customHeight="1" x14ac:dyDescent="0.45">
      <c r="G20" s="73"/>
      <c r="S20" s="73"/>
    </row>
    <row r="21" spans="2:22" x14ac:dyDescent="0.45">
      <c r="C21" s="75" t="s">
        <v>133</v>
      </c>
      <c r="F21" s="75" t="s">
        <v>171</v>
      </c>
      <c r="O21" s="75"/>
    </row>
    <row r="22" spans="2:22" x14ac:dyDescent="0.45">
      <c r="G22" s="75" t="s">
        <v>128</v>
      </c>
      <c r="S22" s="75"/>
    </row>
    <row r="24" spans="2:22" x14ac:dyDescent="0.45">
      <c r="C24" s="78" t="s">
        <v>130</v>
      </c>
      <c r="O24" s="78"/>
    </row>
    <row r="29" spans="2:22" ht="28.8" x14ac:dyDescent="0.45">
      <c r="B29" s="79">
        <v>2</v>
      </c>
      <c r="C29" s="79" t="s">
        <v>120</v>
      </c>
      <c r="D29" s="79"/>
      <c r="J29" s="98" t="str">
        <f>J2</f>
        <v>2024.11.20</v>
      </c>
      <c r="N29" s="79"/>
      <c r="O29" s="79"/>
      <c r="P29" s="79"/>
      <c r="V29" s="73"/>
    </row>
    <row r="30" spans="2:22" ht="24" customHeight="1" x14ac:dyDescent="0.45">
      <c r="J30" s="98" t="s">
        <v>126</v>
      </c>
      <c r="V30" s="73"/>
    </row>
    <row r="31" spans="2:22" ht="21.6" customHeight="1" x14ac:dyDescent="0.45">
      <c r="J31" s="98" t="s">
        <v>127</v>
      </c>
      <c r="V31" s="73"/>
    </row>
    <row r="32" spans="2:22" ht="21.6" customHeight="1" x14ac:dyDescent="0.45"/>
    <row r="33" spans="1:23" ht="37.799999999999997" x14ac:dyDescent="0.45">
      <c r="A33" s="81"/>
      <c r="B33" s="81"/>
      <c r="C33" s="81"/>
      <c r="D33" s="81">
        <f>D6</f>
        <v>11</v>
      </c>
      <c r="E33" s="81" t="s">
        <v>131</v>
      </c>
      <c r="F33" s="81"/>
      <c r="G33" s="81"/>
      <c r="H33" s="81"/>
      <c r="I33" s="81"/>
      <c r="J33" s="81"/>
      <c r="K33" s="81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</row>
    <row r="35" spans="1:23" x14ac:dyDescent="0.45">
      <c r="B35" s="72" t="s">
        <v>121</v>
      </c>
    </row>
    <row r="36" spans="1:23" ht="6" customHeight="1" x14ac:dyDescent="0.45"/>
    <row r="37" spans="1:23" x14ac:dyDescent="0.45">
      <c r="B37" s="72">
        <f>D33</f>
        <v>11</v>
      </c>
      <c r="C37" s="72" t="str">
        <f>$C$10</f>
        <v>今月の徴収明細は以下の通りです。</v>
      </c>
    </row>
    <row r="39" spans="1:23" x14ac:dyDescent="0.45">
      <c r="C39" s="72" t="s">
        <v>123</v>
      </c>
      <c r="F39" s="72">
        <f>$F$12</f>
        <v>2000</v>
      </c>
      <c r="G39" s="72" t="s">
        <v>124</v>
      </c>
      <c r="H39" s="72">
        <f>徴収内訳!$F$3</f>
        <v>11</v>
      </c>
      <c r="I39" s="72" t="s">
        <v>117</v>
      </c>
      <c r="J39" s="74">
        <f>F39*H39</f>
        <v>22000</v>
      </c>
      <c r="K39" s="72" t="s">
        <v>125</v>
      </c>
      <c r="V39" s="74"/>
    </row>
    <row r="40" spans="1:23" x14ac:dyDescent="0.45">
      <c r="C40" s="72" t="str">
        <f t="shared" ref="C40" si="0">C13</f>
        <v>・歳末たすけあい運動</v>
      </c>
      <c r="F40" s="72">
        <f>$F$13</f>
        <v>400</v>
      </c>
      <c r="G40" s="72" t="s">
        <v>124</v>
      </c>
      <c r="H40" s="72">
        <f>徴収内訳!$F$1</f>
        <v>11</v>
      </c>
      <c r="I40" s="72" t="s">
        <v>117</v>
      </c>
      <c r="J40" s="74">
        <f>F40*H40</f>
        <v>4400</v>
      </c>
      <c r="K40" s="72" t="s">
        <v>125</v>
      </c>
      <c r="V40" s="74"/>
    </row>
    <row r="41" spans="1:23" x14ac:dyDescent="0.45">
      <c r="J41" s="74"/>
      <c r="V41" s="74"/>
    </row>
    <row r="42" spans="1:23" x14ac:dyDescent="0.45">
      <c r="G42" s="72" t="s">
        <v>108</v>
      </c>
      <c r="J42" s="74">
        <f>SUM(J39:J41)</f>
        <v>26400</v>
      </c>
      <c r="K42" s="72" t="s">
        <v>125</v>
      </c>
      <c r="V42" s="74"/>
    </row>
    <row r="43" spans="1:23" ht="27" thickBot="1" x14ac:dyDescent="0.5"/>
    <row r="44" spans="1:23" ht="18.600000000000001" customHeight="1" x14ac:dyDescent="0.45">
      <c r="J44" s="76" t="s">
        <v>129</v>
      </c>
      <c r="V44" s="80"/>
    </row>
    <row r="45" spans="1:23" ht="65.400000000000006" customHeight="1" thickBot="1" x14ac:dyDescent="0.5">
      <c r="J45" s="77"/>
    </row>
    <row r="46" spans="1:23" ht="27" customHeight="1" x14ac:dyDescent="0.45">
      <c r="F46" s="73" t="s">
        <v>132</v>
      </c>
      <c r="G46" s="73"/>
      <c r="S46" s="73"/>
    </row>
    <row r="47" spans="1:23" ht="27" customHeight="1" x14ac:dyDescent="0.45">
      <c r="G47" s="73"/>
      <c r="S47" s="73"/>
    </row>
    <row r="48" spans="1:23" x14ac:dyDescent="0.45">
      <c r="C48" s="75" t="s">
        <v>133</v>
      </c>
      <c r="F48" s="75" t="str">
        <f>F21</f>
        <v>１１月２８日（木） １８：３０以降</v>
      </c>
      <c r="O48" s="75"/>
    </row>
    <row r="49" spans="1:23" x14ac:dyDescent="0.45">
      <c r="G49" s="75" t="s">
        <v>128</v>
      </c>
      <c r="S49" s="75"/>
    </row>
    <row r="51" spans="1:23" x14ac:dyDescent="0.45">
      <c r="C51" s="78" t="s">
        <v>130</v>
      </c>
      <c r="O51" s="78"/>
    </row>
    <row r="56" spans="1:23" ht="28.8" x14ac:dyDescent="0.45">
      <c r="B56" s="79">
        <v>3</v>
      </c>
      <c r="C56" s="79" t="s">
        <v>120</v>
      </c>
      <c r="D56" s="79"/>
      <c r="J56" s="98" t="str">
        <f>J2</f>
        <v>2024.11.20</v>
      </c>
      <c r="N56" s="79"/>
      <c r="O56" s="79"/>
      <c r="P56" s="79"/>
      <c r="V56" s="73"/>
    </row>
    <row r="57" spans="1:23" ht="24" customHeight="1" x14ac:dyDescent="0.45">
      <c r="J57" s="98" t="s">
        <v>126</v>
      </c>
      <c r="V57" s="73"/>
    </row>
    <row r="58" spans="1:23" ht="21.6" customHeight="1" x14ac:dyDescent="0.45">
      <c r="J58" s="98" t="s">
        <v>127</v>
      </c>
      <c r="V58" s="73"/>
    </row>
    <row r="59" spans="1:23" ht="21.6" customHeight="1" x14ac:dyDescent="0.45"/>
    <row r="60" spans="1:23" ht="37.799999999999997" x14ac:dyDescent="0.45">
      <c r="A60" s="81"/>
      <c r="B60" s="81"/>
      <c r="C60" s="81"/>
      <c r="D60" s="81">
        <f>D6</f>
        <v>11</v>
      </c>
      <c r="E60" s="81" t="s">
        <v>131</v>
      </c>
      <c r="F60" s="81"/>
      <c r="G60" s="81"/>
      <c r="H60" s="81"/>
      <c r="I60" s="81"/>
      <c r="J60" s="81"/>
      <c r="K60" s="81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</row>
    <row r="62" spans="1:23" x14ac:dyDescent="0.45">
      <c r="B62" s="72" t="s">
        <v>121</v>
      </c>
    </row>
    <row r="63" spans="1:23" ht="6" customHeight="1" x14ac:dyDescent="0.45"/>
    <row r="64" spans="1:23" x14ac:dyDescent="0.45">
      <c r="B64" s="72">
        <f>D60</f>
        <v>11</v>
      </c>
      <c r="C64" s="72" t="str">
        <f>$C$10</f>
        <v>今月の徴収明細は以下の通りです。</v>
      </c>
    </row>
    <row r="66" spans="3:22" x14ac:dyDescent="0.45">
      <c r="C66" s="72" t="s">
        <v>123</v>
      </c>
      <c r="F66" s="72">
        <f>$F$12</f>
        <v>2000</v>
      </c>
      <c r="G66" s="72" t="s">
        <v>124</v>
      </c>
      <c r="H66" s="72">
        <f>徴収内訳!$G$3</f>
        <v>16</v>
      </c>
      <c r="I66" s="72" t="s">
        <v>117</v>
      </c>
      <c r="J66" s="74">
        <f>F66*H66</f>
        <v>32000</v>
      </c>
      <c r="K66" s="72" t="s">
        <v>125</v>
      </c>
      <c r="V66" s="74"/>
    </row>
    <row r="67" spans="3:22" x14ac:dyDescent="0.45">
      <c r="C67" s="72" t="str">
        <f t="shared" ref="C67" si="1">C13</f>
        <v>・歳末たすけあい運動</v>
      </c>
      <c r="F67" s="72">
        <f>$F$13</f>
        <v>400</v>
      </c>
      <c r="G67" s="72" t="s">
        <v>124</v>
      </c>
      <c r="H67" s="72">
        <v>16</v>
      </c>
      <c r="I67" s="72" t="s">
        <v>117</v>
      </c>
      <c r="J67" s="74">
        <f>F67*H67</f>
        <v>6400</v>
      </c>
      <c r="K67" s="72" t="s">
        <v>125</v>
      </c>
      <c r="V67" s="74"/>
    </row>
    <row r="68" spans="3:22" x14ac:dyDescent="0.45">
      <c r="J68" s="74"/>
      <c r="V68" s="74"/>
    </row>
    <row r="69" spans="3:22" x14ac:dyDescent="0.45">
      <c r="G69" s="72" t="s">
        <v>108</v>
      </c>
      <c r="J69" s="74">
        <f>SUM(J66:J68)</f>
        <v>38400</v>
      </c>
      <c r="K69" s="72" t="s">
        <v>125</v>
      </c>
      <c r="V69" s="74"/>
    </row>
    <row r="70" spans="3:22" ht="27" thickBot="1" x14ac:dyDescent="0.5"/>
    <row r="71" spans="3:22" ht="18.600000000000001" customHeight="1" x14ac:dyDescent="0.45">
      <c r="J71" s="76" t="s">
        <v>129</v>
      </c>
      <c r="V71" s="80"/>
    </row>
    <row r="72" spans="3:22" ht="65.400000000000006" customHeight="1" thickBot="1" x14ac:dyDescent="0.5">
      <c r="J72" s="77"/>
    </row>
    <row r="73" spans="3:22" ht="27" customHeight="1" x14ac:dyDescent="0.45">
      <c r="F73" s="73" t="s">
        <v>132</v>
      </c>
      <c r="G73" s="73"/>
      <c r="S73" s="73"/>
    </row>
    <row r="74" spans="3:22" ht="27" customHeight="1" x14ac:dyDescent="0.45">
      <c r="G74" s="73"/>
      <c r="S74" s="73"/>
    </row>
    <row r="75" spans="3:22" x14ac:dyDescent="0.45">
      <c r="C75" s="75" t="s">
        <v>133</v>
      </c>
      <c r="F75" s="75" t="str">
        <f>F21</f>
        <v>１１月２８日（木） １８：３０以降</v>
      </c>
      <c r="O75" s="75"/>
    </row>
    <row r="76" spans="3:22" x14ac:dyDescent="0.45">
      <c r="G76" s="75" t="s">
        <v>128</v>
      </c>
      <c r="S76" s="75"/>
    </row>
    <row r="78" spans="3:22" x14ac:dyDescent="0.45">
      <c r="C78" s="78" t="s">
        <v>130</v>
      </c>
      <c r="O78" s="78"/>
    </row>
    <row r="79" spans="3:22" x14ac:dyDescent="0.45">
      <c r="C79" s="78"/>
      <c r="O79" s="78"/>
    </row>
    <row r="83" spans="1:23" ht="28.8" x14ac:dyDescent="0.45">
      <c r="B83" s="79">
        <v>4</v>
      </c>
      <c r="C83" s="79" t="s">
        <v>120</v>
      </c>
      <c r="D83" s="79"/>
      <c r="J83" s="98" t="str">
        <f>J2</f>
        <v>2024.11.20</v>
      </c>
      <c r="N83" s="79"/>
      <c r="O83" s="79"/>
      <c r="P83" s="79"/>
      <c r="V83" s="73"/>
    </row>
    <row r="84" spans="1:23" ht="24" customHeight="1" x14ac:dyDescent="0.45">
      <c r="J84" s="98" t="s">
        <v>126</v>
      </c>
      <c r="V84" s="73"/>
    </row>
    <row r="85" spans="1:23" ht="21.6" customHeight="1" x14ac:dyDescent="0.45">
      <c r="J85" s="98" t="s">
        <v>127</v>
      </c>
      <c r="V85" s="73"/>
    </row>
    <row r="86" spans="1:23" ht="21.6" customHeight="1" x14ac:dyDescent="0.45"/>
    <row r="87" spans="1:23" ht="37.799999999999997" x14ac:dyDescent="0.45">
      <c r="A87" s="81"/>
      <c r="B87" s="81"/>
      <c r="C87" s="81"/>
      <c r="D87" s="81">
        <f>D6</f>
        <v>11</v>
      </c>
      <c r="E87" s="81" t="s">
        <v>131</v>
      </c>
      <c r="F87" s="81"/>
      <c r="G87" s="81"/>
      <c r="H87" s="81"/>
      <c r="I87" s="81"/>
      <c r="J87" s="81"/>
      <c r="K87" s="81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</row>
    <row r="89" spans="1:23" x14ac:dyDescent="0.45">
      <c r="B89" s="72" t="s">
        <v>121</v>
      </c>
    </row>
    <row r="90" spans="1:23" ht="6" customHeight="1" x14ac:dyDescent="0.45"/>
    <row r="91" spans="1:23" x14ac:dyDescent="0.45">
      <c r="B91" s="72">
        <f>D87</f>
        <v>11</v>
      </c>
      <c r="C91" s="72" t="str">
        <f>$C$10</f>
        <v>今月の徴収明細は以下の通りです。</v>
      </c>
    </row>
    <row r="93" spans="1:23" x14ac:dyDescent="0.45">
      <c r="C93" s="72" t="s">
        <v>123</v>
      </c>
      <c r="F93" s="72">
        <f>$F$12</f>
        <v>2000</v>
      </c>
      <c r="G93" s="72" t="s">
        <v>124</v>
      </c>
      <c r="H93" s="72">
        <f>徴収内訳!$H$3</f>
        <v>12</v>
      </c>
      <c r="I93" s="72" t="s">
        <v>117</v>
      </c>
      <c r="J93" s="74">
        <f>F93*H93</f>
        <v>24000</v>
      </c>
      <c r="K93" s="72" t="s">
        <v>125</v>
      </c>
      <c r="V93" s="74"/>
    </row>
    <row r="94" spans="1:23" x14ac:dyDescent="0.45">
      <c r="C94" s="72" t="str">
        <f t="shared" ref="C94" si="2">C13</f>
        <v>・歳末たすけあい運動</v>
      </c>
      <c r="F94" s="72">
        <f>$F$13</f>
        <v>400</v>
      </c>
      <c r="G94" s="72" t="s">
        <v>124</v>
      </c>
      <c r="H94" s="72">
        <v>12</v>
      </c>
      <c r="I94" s="72" t="s">
        <v>117</v>
      </c>
      <c r="J94" s="74">
        <f>F94*H94</f>
        <v>4800</v>
      </c>
      <c r="K94" s="72" t="s">
        <v>125</v>
      </c>
      <c r="V94" s="74"/>
    </row>
    <row r="95" spans="1:23" x14ac:dyDescent="0.45">
      <c r="J95" s="74"/>
      <c r="V95" s="74"/>
    </row>
    <row r="96" spans="1:23" x14ac:dyDescent="0.45">
      <c r="G96" s="72" t="s">
        <v>108</v>
      </c>
      <c r="J96" s="74">
        <f>SUM(J93:J95)</f>
        <v>28800</v>
      </c>
      <c r="K96" s="72" t="s">
        <v>125</v>
      </c>
      <c r="V96" s="74"/>
    </row>
    <row r="97" spans="3:22" ht="27" thickBot="1" x14ac:dyDescent="0.5"/>
    <row r="98" spans="3:22" ht="18.600000000000001" customHeight="1" x14ac:dyDescent="0.45">
      <c r="J98" s="76" t="s">
        <v>129</v>
      </c>
      <c r="V98" s="80"/>
    </row>
    <row r="99" spans="3:22" ht="65.400000000000006" customHeight="1" thickBot="1" x14ac:dyDescent="0.5">
      <c r="J99" s="77"/>
    </row>
    <row r="100" spans="3:22" ht="27" customHeight="1" x14ac:dyDescent="0.45">
      <c r="F100" s="73" t="s">
        <v>132</v>
      </c>
      <c r="G100" s="73"/>
      <c r="S100" s="73"/>
    </row>
    <row r="101" spans="3:22" ht="27" customHeight="1" x14ac:dyDescent="0.45">
      <c r="G101" s="73"/>
      <c r="S101" s="73"/>
    </row>
    <row r="102" spans="3:22" x14ac:dyDescent="0.45">
      <c r="C102" s="75" t="s">
        <v>133</v>
      </c>
      <c r="F102" s="75" t="str">
        <f>F21</f>
        <v>１１月２８日（木） １８：３０以降</v>
      </c>
      <c r="O102" s="75"/>
    </row>
    <row r="103" spans="3:22" x14ac:dyDescent="0.45">
      <c r="G103" s="75" t="s">
        <v>128</v>
      </c>
      <c r="S103" s="75"/>
    </row>
    <row r="105" spans="3:22" x14ac:dyDescent="0.45">
      <c r="C105" s="78" t="s">
        <v>130</v>
      </c>
      <c r="O105" s="78"/>
    </row>
  </sheetData>
  <mergeCells count="4">
    <mergeCell ref="M6:W6"/>
    <mergeCell ref="M33:W33"/>
    <mergeCell ref="M60:W60"/>
    <mergeCell ref="M87:W87"/>
  </mergeCells>
  <phoneticPr fontId="1"/>
  <pageMargins left="0.70866141732283472" right="0.31496062992125984" top="0.74803149606299213" bottom="0.74803149606299213" header="0.31496062992125984" footer="0.31496062992125984"/>
  <pageSetup paperSize="9" orientation="portrait" horizontalDpi="360" verticalDpi="36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AEAB9-0DB8-4A08-B52B-063DBDAB685F}">
  <dimension ref="A2:W105"/>
  <sheetViews>
    <sheetView view="pageLayout" topLeftCell="A86" zoomScale="86" zoomScaleNormal="100" zoomScaleSheetLayoutView="85" zoomScalePageLayoutView="86" workbookViewId="0">
      <selection activeCell="K98" sqref="K98"/>
    </sheetView>
  </sheetViews>
  <sheetFormatPr defaultRowHeight="26.4" x14ac:dyDescent="0.45"/>
  <cols>
    <col min="1" max="1" width="2.59765625" style="72" customWidth="1"/>
    <col min="2" max="2" width="2.19921875" style="72" customWidth="1"/>
    <col min="3" max="3" width="8.796875" style="72"/>
    <col min="4" max="4" width="7.796875" style="72" customWidth="1"/>
    <col min="5" max="5" width="12.59765625" style="72" customWidth="1"/>
    <col min="6" max="6" width="8.59765625" style="72" customWidth="1"/>
    <col min="7" max="7" width="7" style="72" customWidth="1"/>
    <col min="8" max="8" width="4.3984375" style="72" customWidth="1"/>
    <col min="9" max="9" width="4.5" style="72" customWidth="1"/>
    <col min="10" max="10" width="14.5" style="72" customWidth="1"/>
    <col min="11" max="11" width="10.5" style="72" customWidth="1"/>
    <col min="12" max="12" width="8.796875" style="72"/>
    <col min="13" max="13" width="3.69921875" style="72" customWidth="1"/>
    <col min="14" max="16384" width="8.796875" style="72"/>
  </cols>
  <sheetData>
    <row r="2" spans="2:23" ht="28.8" x14ac:dyDescent="0.45">
      <c r="B2" s="79">
        <v>1</v>
      </c>
      <c r="C2" s="79" t="s">
        <v>120</v>
      </c>
      <c r="D2" s="79"/>
      <c r="J2" s="98" t="s">
        <v>172</v>
      </c>
      <c r="N2" s="79"/>
      <c r="O2" s="79"/>
      <c r="P2" s="79"/>
      <c r="V2" s="73"/>
    </row>
    <row r="3" spans="2:23" ht="24" customHeight="1" x14ac:dyDescent="0.45">
      <c r="J3" s="98" t="s">
        <v>126</v>
      </c>
      <c r="V3" s="73"/>
    </row>
    <row r="4" spans="2:23" ht="21.6" customHeight="1" x14ac:dyDescent="0.45">
      <c r="J4" s="98" t="s">
        <v>127</v>
      </c>
      <c r="V4" s="73"/>
    </row>
    <row r="5" spans="2:23" ht="21.6" customHeight="1" x14ac:dyDescent="0.45"/>
    <row r="6" spans="2:23" ht="37.799999999999997" x14ac:dyDescent="0.45">
      <c r="D6" s="81">
        <v>12</v>
      </c>
      <c r="E6" s="81" t="s">
        <v>131</v>
      </c>
      <c r="F6" s="81"/>
      <c r="G6" s="81"/>
      <c r="H6" s="81"/>
      <c r="I6" s="81"/>
      <c r="J6" s="81"/>
      <c r="K6" s="81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</row>
    <row r="8" spans="2:23" x14ac:dyDescent="0.45">
      <c r="B8" s="72" t="s">
        <v>121</v>
      </c>
    </row>
    <row r="9" spans="2:23" ht="6" customHeight="1" x14ac:dyDescent="0.45"/>
    <row r="10" spans="2:23" x14ac:dyDescent="0.45">
      <c r="C10" s="72" t="s">
        <v>157</v>
      </c>
    </row>
    <row r="12" spans="2:23" x14ac:dyDescent="0.45">
      <c r="C12" s="72" t="s">
        <v>123</v>
      </c>
      <c r="F12" s="72">
        <v>2000</v>
      </c>
      <c r="G12" s="72" t="s">
        <v>124</v>
      </c>
      <c r="H12" s="72">
        <f>徴収内訳!$E$3</f>
        <v>14</v>
      </c>
      <c r="I12" s="72" t="s">
        <v>117</v>
      </c>
      <c r="J12" s="74">
        <f>F12*H12</f>
        <v>28000</v>
      </c>
      <c r="K12" s="72" t="s">
        <v>125</v>
      </c>
      <c r="V12" s="74"/>
    </row>
    <row r="13" spans="2:23" ht="43.2" x14ac:dyDescent="0.45">
      <c r="C13" s="99" t="s">
        <v>173</v>
      </c>
      <c r="F13" s="109" t="s">
        <v>176</v>
      </c>
      <c r="G13" s="108" t="s">
        <v>178</v>
      </c>
      <c r="H13" s="108" t="s">
        <v>177</v>
      </c>
      <c r="I13" s="108" t="s">
        <v>179</v>
      </c>
      <c r="J13" s="74">
        <v>11000</v>
      </c>
      <c r="K13" s="72" t="s">
        <v>125</v>
      </c>
      <c r="V13" s="74"/>
    </row>
    <row r="14" spans="2:23" x14ac:dyDescent="0.45">
      <c r="C14" s="99" t="s">
        <v>174</v>
      </c>
      <c r="H14" s="72">
        <v>1</v>
      </c>
      <c r="I14" s="72" t="s">
        <v>117</v>
      </c>
      <c r="J14" s="74">
        <v>3400</v>
      </c>
      <c r="K14" s="72" t="s">
        <v>125</v>
      </c>
      <c r="V14" s="74"/>
    </row>
    <row r="15" spans="2:23" x14ac:dyDescent="0.45">
      <c r="G15" s="72" t="s">
        <v>108</v>
      </c>
      <c r="J15" s="74">
        <f>SUM(J12:J14)</f>
        <v>42400</v>
      </c>
      <c r="K15" s="72" t="s">
        <v>125</v>
      </c>
      <c r="V15" s="74"/>
    </row>
    <row r="16" spans="2:23" ht="27" thickBot="1" x14ac:dyDescent="0.5"/>
    <row r="17" spans="2:22" ht="18.600000000000001" customHeight="1" x14ac:dyDescent="0.45">
      <c r="J17" s="76" t="s">
        <v>129</v>
      </c>
      <c r="V17" s="80"/>
    </row>
    <row r="18" spans="2:22" ht="65.400000000000006" customHeight="1" thickBot="1" x14ac:dyDescent="0.5">
      <c r="J18" s="77"/>
    </row>
    <row r="19" spans="2:22" ht="27" customHeight="1" x14ac:dyDescent="0.45">
      <c r="F19" s="73" t="s">
        <v>132</v>
      </c>
      <c r="G19" s="73"/>
      <c r="S19" s="73"/>
    </row>
    <row r="20" spans="2:22" ht="27" customHeight="1" x14ac:dyDescent="0.45">
      <c r="G20" s="73"/>
      <c r="S20" s="73"/>
    </row>
    <row r="21" spans="2:22" x14ac:dyDescent="0.45">
      <c r="C21" s="75" t="s">
        <v>133</v>
      </c>
      <c r="F21" s="75" t="s">
        <v>175</v>
      </c>
      <c r="O21" s="75"/>
    </row>
    <row r="22" spans="2:22" x14ac:dyDescent="0.45">
      <c r="G22" s="75" t="s">
        <v>128</v>
      </c>
      <c r="S22" s="75"/>
    </row>
    <row r="24" spans="2:22" x14ac:dyDescent="0.45">
      <c r="C24" s="78" t="s">
        <v>130</v>
      </c>
      <c r="O24" s="78"/>
    </row>
    <row r="29" spans="2:22" ht="28.8" x14ac:dyDescent="0.45">
      <c r="B29" s="79">
        <v>2</v>
      </c>
      <c r="C29" s="79" t="s">
        <v>120</v>
      </c>
      <c r="D29" s="79"/>
      <c r="J29" s="98" t="str">
        <f>J2</f>
        <v>2024.12.20</v>
      </c>
      <c r="N29" s="79"/>
      <c r="O29" s="79"/>
      <c r="P29" s="79"/>
      <c r="V29" s="73"/>
    </row>
    <row r="30" spans="2:22" ht="24" customHeight="1" x14ac:dyDescent="0.45">
      <c r="J30" s="98" t="s">
        <v>126</v>
      </c>
      <c r="V30" s="73"/>
    </row>
    <row r="31" spans="2:22" ht="21.6" customHeight="1" x14ac:dyDescent="0.45">
      <c r="J31" s="98" t="s">
        <v>127</v>
      </c>
      <c r="V31" s="73"/>
    </row>
    <row r="32" spans="2:22" ht="21.6" customHeight="1" x14ac:dyDescent="0.45"/>
    <row r="33" spans="1:23" ht="37.799999999999997" x14ac:dyDescent="0.45">
      <c r="A33" s="81"/>
      <c r="B33" s="81"/>
      <c r="C33" s="81"/>
      <c r="D33" s="81">
        <f>D6</f>
        <v>12</v>
      </c>
      <c r="E33" s="81" t="s">
        <v>131</v>
      </c>
      <c r="F33" s="81"/>
      <c r="G33" s="81"/>
      <c r="H33" s="81"/>
      <c r="I33" s="81"/>
      <c r="J33" s="81"/>
      <c r="K33" s="81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</row>
    <row r="35" spans="1:23" x14ac:dyDescent="0.45">
      <c r="B35" s="72" t="s">
        <v>121</v>
      </c>
    </row>
    <row r="36" spans="1:23" ht="6" customHeight="1" x14ac:dyDescent="0.45"/>
    <row r="37" spans="1:23" x14ac:dyDescent="0.45">
      <c r="B37" s="72">
        <f>D33</f>
        <v>12</v>
      </c>
      <c r="C37" s="72" t="str">
        <f>$C$10</f>
        <v>今月の徴収明細は以下の通りです。</v>
      </c>
    </row>
    <row r="39" spans="1:23" x14ac:dyDescent="0.45">
      <c r="C39" s="72" t="str">
        <f t="shared" ref="C39:C41" si="0">C12</f>
        <v>・区協議費</v>
      </c>
      <c r="F39" s="72">
        <f>$F$12</f>
        <v>2000</v>
      </c>
      <c r="G39" s="72" t="s">
        <v>124</v>
      </c>
      <c r="H39" s="72">
        <f>徴収内訳!$F$3</f>
        <v>11</v>
      </c>
      <c r="I39" s="72" t="s">
        <v>117</v>
      </c>
      <c r="J39" s="74">
        <f>F39*H39</f>
        <v>22000</v>
      </c>
      <c r="K39" s="72" t="s">
        <v>125</v>
      </c>
      <c r="V39" s="74"/>
    </row>
    <row r="40" spans="1:23" x14ac:dyDescent="0.45">
      <c r="C40" s="72" t="str">
        <f t="shared" si="0"/>
        <v>・山年貢</v>
      </c>
      <c r="F40" s="72">
        <v>1000</v>
      </c>
      <c r="G40" s="72" t="s">
        <v>124</v>
      </c>
      <c r="H40" s="72">
        <v>11</v>
      </c>
      <c r="I40" s="72" t="s">
        <v>117</v>
      </c>
      <c r="J40" s="74">
        <f>F40*H40</f>
        <v>11000</v>
      </c>
      <c r="K40" s="72" t="s">
        <v>125</v>
      </c>
      <c r="V40" s="74"/>
    </row>
    <row r="41" spans="1:23" x14ac:dyDescent="0.45">
      <c r="C41" s="72" t="str">
        <f t="shared" si="0"/>
        <v>・水利費</v>
      </c>
      <c r="H41" s="72">
        <v>1</v>
      </c>
      <c r="I41" s="72" t="s">
        <v>117</v>
      </c>
      <c r="J41" s="74">
        <v>3980</v>
      </c>
      <c r="K41" s="72" t="s">
        <v>125</v>
      </c>
      <c r="V41" s="74"/>
    </row>
    <row r="42" spans="1:23" x14ac:dyDescent="0.45">
      <c r="G42" s="72" t="s">
        <v>108</v>
      </c>
      <c r="J42" s="74">
        <f>SUM(J39:J41)</f>
        <v>36980</v>
      </c>
      <c r="K42" s="72" t="s">
        <v>125</v>
      </c>
      <c r="V42" s="74"/>
    </row>
    <row r="43" spans="1:23" ht="27" thickBot="1" x14ac:dyDescent="0.5"/>
    <row r="44" spans="1:23" ht="18.600000000000001" customHeight="1" x14ac:dyDescent="0.45">
      <c r="J44" s="76" t="s">
        <v>129</v>
      </c>
      <c r="V44" s="80"/>
    </row>
    <row r="45" spans="1:23" ht="65.400000000000006" customHeight="1" thickBot="1" x14ac:dyDescent="0.5">
      <c r="J45" s="77"/>
    </row>
    <row r="46" spans="1:23" ht="27" customHeight="1" x14ac:dyDescent="0.45">
      <c r="F46" s="73" t="s">
        <v>132</v>
      </c>
      <c r="G46" s="73"/>
      <c r="S46" s="73"/>
    </row>
    <row r="47" spans="1:23" ht="27" customHeight="1" x14ac:dyDescent="0.45">
      <c r="G47" s="73"/>
      <c r="S47" s="73"/>
    </row>
    <row r="48" spans="1:23" x14ac:dyDescent="0.45">
      <c r="C48" s="75" t="s">
        <v>133</v>
      </c>
      <c r="F48" s="75" t="str">
        <f>F21</f>
        <v>１２月２６日（木） １８：３０以降</v>
      </c>
      <c r="O48" s="75"/>
    </row>
    <row r="49" spans="1:23" x14ac:dyDescent="0.45">
      <c r="G49" s="75" t="s">
        <v>128</v>
      </c>
      <c r="S49" s="75"/>
    </row>
    <row r="51" spans="1:23" x14ac:dyDescent="0.45">
      <c r="C51" s="78" t="s">
        <v>130</v>
      </c>
      <c r="O51" s="78"/>
    </row>
    <row r="56" spans="1:23" ht="28.8" x14ac:dyDescent="0.45">
      <c r="B56" s="79">
        <v>3</v>
      </c>
      <c r="C56" s="79" t="s">
        <v>120</v>
      </c>
      <c r="D56" s="79"/>
      <c r="J56" s="98" t="str">
        <f>J2</f>
        <v>2024.12.20</v>
      </c>
      <c r="N56" s="79"/>
      <c r="O56" s="79"/>
      <c r="P56" s="79"/>
      <c r="V56" s="73"/>
    </row>
    <row r="57" spans="1:23" ht="24" customHeight="1" x14ac:dyDescent="0.45">
      <c r="J57" s="98" t="s">
        <v>126</v>
      </c>
      <c r="V57" s="73"/>
    </row>
    <row r="58" spans="1:23" ht="21.6" customHeight="1" x14ac:dyDescent="0.45">
      <c r="J58" s="98" t="s">
        <v>127</v>
      </c>
      <c r="V58" s="73"/>
    </row>
    <row r="59" spans="1:23" ht="21.6" customHeight="1" x14ac:dyDescent="0.45"/>
    <row r="60" spans="1:23" ht="37.799999999999997" x14ac:dyDescent="0.45">
      <c r="A60" s="81"/>
      <c r="B60" s="81"/>
      <c r="C60" s="81"/>
      <c r="D60" s="81">
        <f>D6</f>
        <v>12</v>
      </c>
      <c r="E60" s="81" t="s">
        <v>131</v>
      </c>
      <c r="F60" s="81"/>
      <c r="G60" s="81"/>
      <c r="H60" s="81"/>
      <c r="I60" s="81"/>
      <c r="J60" s="81"/>
      <c r="K60" s="81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</row>
    <row r="62" spans="1:23" x14ac:dyDescent="0.45">
      <c r="B62" s="72" t="s">
        <v>121</v>
      </c>
    </row>
    <row r="63" spans="1:23" ht="6" customHeight="1" x14ac:dyDescent="0.45"/>
    <row r="64" spans="1:23" x14ac:dyDescent="0.45">
      <c r="B64" s="72">
        <f>D60</f>
        <v>12</v>
      </c>
      <c r="C64" s="72" t="str">
        <f>$C$10</f>
        <v>今月の徴収明細は以下の通りです。</v>
      </c>
    </row>
    <row r="66" spans="3:22" x14ac:dyDescent="0.45">
      <c r="C66" s="72" t="str">
        <f t="shared" ref="C66:C68" si="1">C39</f>
        <v>・区協議費</v>
      </c>
      <c r="F66" s="72">
        <f>$F$12</f>
        <v>2000</v>
      </c>
      <c r="G66" s="72" t="s">
        <v>124</v>
      </c>
      <c r="H66" s="72">
        <f>徴収内訳!$G$3</f>
        <v>16</v>
      </c>
      <c r="I66" s="72" t="s">
        <v>117</v>
      </c>
      <c r="J66" s="74">
        <f>F66*H66</f>
        <v>32000</v>
      </c>
      <c r="K66" s="72" t="s">
        <v>125</v>
      </c>
      <c r="V66" s="74"/>
    </row>
    <row r="67" spans="3:22" x14ac:dyDescent="0.45">
      <c r="C67" s="72" t="str">
        <f t="shared" si="1"/>
        <v>・山年貢</v>
      </c>
      <c r="F67" s="72">
        <v>1000</v>
      </c>
      <c r="G67" s="72" t="s">
        <v>124</v>
      </c>
      <c r="H67" s="72">
        <v>15</v>
      </c>
      <c r="I67" s="72" t="s">
        <v>117</v>
      </c>
      <c r="J67" s="74">
        <f>F67*H67</f>
        <v>15000</v>
      </c>
      <c r="K67" s="72" t="s">
        <v>125</v>
      </c>
      <c r="V67" s="74"/>
    </row>
    <row r="68" spans="3:22" x14ac:dyDescent="0.45">
      <c r="C68" s="72" t="str">
        <f t="shared" si="1"/>
        <v>・水利費</v>
      </c>
      <c r="H68" s="72">
        <v>1</v>
      </c>
      <c r="I68" s="72" t="s">
        <v>117</v>
      </c>
      <c r="J68" s="74">
        <v>9030</v>
      </c>
      <c r="K68" s="72" t="s">
        <v>125</v>
      </c>
      <c r="V68" s="74"/>
    </row>
    <row r="69" spans="3:22" x14ac:dyDescent="0.45">
      <c r="G69" s="72" t="s">
        <v>108</v>
      </c>
      <c r="J69" s="74">
        <f>SUM(J66:J68)</f>
        <v>56030</v>
      </c>
      <c r="K69" s="72" t="s">
        <v>125</v>
      </c>
      <c r="V69" s="74"/>
    </row>
    <row r="70" spans="3:22" ht="27" thickBot="1" x14ac:dyDescent="0.5"/>
    <row r="71" spans="3:22" ht="18.600000000000001" customHeight="1" x14ac:dyDescent="0.45">
      <c r="J71" s="76" t="s">
        <v>129</v>
      </c>
      <c r="V71" s="80"/>
    </row>
    <row r="72" spans="3:22" ht="65.400000000000006" customHeight="1" thickBot="1" x14ac:dyDescent="0.5">
      <c r="J72" s="77"/>
    </row>
    <row r="73" spans="3:22" ht="27" customHeight="1" x14ac:dyDescent="0.45">
      <c r="F73" s="73" t="s">
        <v>132</v>
      </c>
      <c r="G73" s="73"/>
      <c r="S73" s="73"/>
    </row>
    <row r="74" spans="3:22" ht="27" customHeight="1" x14ac:dyDescent="0.45">
      <c r="G74" s="73"/>
      <c r="S74" s="73"/>
    </row>
    <row r="75" spans="3:22" x14ac:dyDescent="0.45">
      <c r="C75" s="75" t="s">
        <v>133</v>
      </c>
      <c r="F75" s="75" t="str">
        <f>F21</f>
        <v>１２月２６日（木） １８：３０以降</v>
      </c>
      <c r="O75" s="75"/>
    </row>
    <row r="76" spans="3:22" x14ac:dyDescent="0.45">
      <c r="G76" s="75" t="s">
        <v>128</v>
      </c>
      <c r="S76" s="75"/>
    </row>
    <row r="78" spans="3:22" x14ac:dyDescent="0.45">
      <c r="C78" s="78" t="s">
        <v>130</v>
      </c>
      <c r="O78" s="78"/>
    </row>
    <row r="79" spans="3:22" x14ac:dyDescent="0.45">
      <c r="C79" s="78"/>
      <c r="O79" s="78"/>
    </row>
    <row r="83" spans="1:23" ht="28.8" x14ac:dyDescent="0.45">
      <c r="B83" s="79">
        <v>4</v>
      </c>
      <c r="C83" s="79" t="s">
        <v>120</v>
      </c>
      <c r="D83" s="79"/>
      <c r="J83" s="98" t="str">
        <f>J2</f>
        <v>2024.12.20</v>
      </c>
      <c r="N83" s="79"/>
      <c r="O83" s="79"/>
      <c r="P83" s="79"/>
      <c r="V83" s="73"/>
    </row>
    <row r="84" spans="1:23" ht="24" customHeight="1" x14ac:dyDescent="0.45">
      <c r="J84" s="98" t="s">
        <v>126</v>
      </c>
      <c r="V84" s="73"/>
    </row>
    <row r="85" spans="1:23" ht="21.6" customHeight="1" x14ac:dyDescent="0.45">
      <c r="J85" s="98" t="s">
        <v>127</v>
      </c>
      <c r="V85" s="73"/>
    </row>
    <row r="86" spans="1:23" ht="21.6" customHeight="1" x14ac:dyDescent="0.45"/>
    <row r="87" spans="1:23" ht="37.799999999999997" x14ac:dyDescent="0.45">
      <c r="A87" s="81"/>
      <c r="B87" s="81"/>
      <c r="C87" s="81"/>
      <c r="D87" s="81">
        <f>D6</f>
        <v>12</v>
      </c>
      <c r="E87" s="81" t="s">
        <v>131</v>
      </c>
      <c r="F87" s="81"/>
      <c r="G87" s="81"/>
      <c r="H87" s="81"/>
      <c r="I87" s="81"/>
      <c r="J87" s="81"/>
      <c r="K87" s="81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</row>
    <row r="89" spans="1:23" x14ac:dyDescent="0.45">
      <c r="B89" s="72" t="s">
        <v>121</v>
      </c>
    </row>
    <row r="90" spans="1:23" ht="6" customHeight="1" x14ac:dyDescent="0.45"/>
    <row r="91" spans="1:23" x14ac:dyDescent="0.45">
      <c r="B91" s="72">
        <f>D87</f>
        <v>12</v>
      </c>
      <c r="C91" s="72" t="str">
        <f>$C$10</f>
        <v>今月の徴収明細は以下の通りです。</v>
      </c>
    </row>
    <row r="93" spans="1:23" x14ac:dyDescent="0.45">
      <c r="C93" s="72" t="str">
        <f t="shared" ref="C93:C95" si="2">C66</f>
        <v>・区協議費</v>
      </c>
      <c r="F93" s="72">
        <f>$F$12</f>
        <v>2000</v>
      </c>
      <c r="G93" s="72" t="s">
        <v>124</v>
      </c>
      <c r="H93" s="72">
        <f>徴収内訳!$H$3</f>
        <v>12</v>
      </c>
      <c r="I93" s="72" t="s">
        <v>117</v>
      </c>
      <c r="J93" s="74">
        <f>F93*H93</f>
        <v>24000</v>
      </c>
      <c r="K93" s="72" t="s">
        <v>125</v>
      </c>
      <c r="V93" s="74"/>
    </row>
    <row r="94" spans="1:23" x14ac:dyDescent="0.45">
      <c r="C94" s="72" t="str">
        <f t="shared" si="2"/>
        <v>・山年貢</v>
      </c>
      <c r="F94" s="72">
        <v>1000</v>
      </c>
      <c r="G94" s="72" t="s">
        <v>124</v>
      </c>
      <c r="H94" s="72">
        <v>10</v>
      </c>
      <c r="I94" s="72" t="s">
        <v>117</v>
      </c>
      <c r="J94" s="74">
        <f>F94*H94</f>
        <v>10000</v>
      </c>
      <c r="K94" s="72" t="s">
        <v>125</v>
      </c>
      <c r="V94" s="74"/>
    </row>
    <row r="95" spans="1:23" x14ac:dyDescent="0.45">
      <c r="C95" s="72" t="str">
        <f t="shared" si="2"/>
        <v>・水利費</v>
      </c>
      <c r="J95" s="74">
        <v>16350</v>
      </c>
      <c r="K95" s="72" t="s">
        <v>125</v>
      </c>
      <c r="V95" s="74"/>
    </row>
    <row r="96" spans="1:23" x14ac:dyDescent="0.45">
      <c r="G96" s="72" t="s">
        <v>108</v>
      </c>
      <c r="J96" s="74">
        <f>SUM(J93:J95)</f>
        <v>50350</v>
      </c>
      <c r="K96" s="72" t="s">
        <v>125</v>
      </c>
      <c r="V96" s="74"/>
    </row>
    <row r="97" spans="3:22" ht="27" thickBot="1" x14ac:dyDescent="0.5"/>
    <row r="98" spans="3:22" ht="18.600000000000001" customHeight="1" x14ac:dyDescent="0.45">
      <c r="J98" s="76" t="s">
        <v>129</v>
      </c>
      <c r="V98" s="80"/>
    </row>
    <row r="99" spans="3:22" ht="65.400000000000006" customHeight="1" thickBot="1" x14ac:dyDescent="0.5">
      <c r="J99" s="77"/>
    </row>
    <row r="100" spans="3:22" ht="27" customHeight="1" x14ac:dyDescent="0.45">
      <c r="F100" s="73" t="s">
        <v>132</v>
      </c>
      <c r="G100" s="73"/>
      <c r="S100" s="73"/>
    </row>
    <row r="101" spans="3:22" ht="27" customHeight="1" x14ac:dyDescent="0.45">
      <c r="G101" s="73"/>
      <c r="S101" s="73"/>
    </row>
    <row r="102" spans="3:22" x14ac:dyDescent="0.45">
      <c r="C102" s="75" t="s">
        <v>133</v>
      </c>
      <c r="F102" s="75" t="str">
        <f>F21</f>
        <v>１２月２６日（木） １８：３０以降</v>
      </c>
      <c r="O102" s="75"/>
    </row>
    <row r="103" spans="3:22" x14ac:dyDescent="0.45">
      <c r="G103" s="75" t="s">
        <v>128</v>
      </c>
      <c r="S103" s="75"/>
    </row>
    <row r="105" spans="3:22" x14ac:dyDescent="0.45">
      <c r="C105" s="78" t="s">
        <v>130</v>
      </c>
      <c r="O105" s="78"/>
    </row>
  </sheetData>
  <mergeCells count="4">
    <mergeCell ref="M6:W6"/>
    <mergeCell ref="M33:W33"/>
    <mergeCell ref="M60:W60"/>
    <mergeCell ref="M87:W87"/>
  </mergeCells>
  <phoneticPr fontId="1"/>
  <pageMargins left="0.70866141732283472" right="0.31496062992125984" top="0.74803149606299213" bottom="0.74803149606299213" header="0.31496062992125984" footer="0.31496062992125984"/>
  <pageSetup paperSize="9" orientation="portrait" horizontalDpi="360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AA165-C7A6-4EA5-A2CC-118AEF35EFDA}">
  <dimension ref="A2:W105"/>
  <sheetViews>
    <sheetView view="pageLayout" topLeftCell="A7" zoomScale="86" zoomScaleNormal="100" zoomScaleSheetLayoutView="85" zoomScalePageLayoutView="86" workbookViewId="0">
      <selection activeCell="J88" sqref="J88"/>
    </sheetView>
  </sheetViews>
  <sheetFormatPr defaultRowHeight="26.4" x14ac:dyDescent="0.45"/>
  <cols>
    <col min="1" max="1" width="2.59765625" style="72" customWidth="1"/>
    <col min="2" max="2" width="2.19921875" style="72" customWidth="1"/>
    <col min="3" max="3" width="8.796875" style="72"/>
    <col min="4" max="4" width="7.796875" style="72" customWidth="1"/>
    <col min="5" max="5" width="12.59765625" style="72" customWidth="1"/>
    <col min="6" max="6" width="8.59765625" style="72" customWidth="1"/>
    <col min="7" max="7" width="7" style="72" customWidth="1"/>
    <col min="8" max="8" width="4.3984375" style="72" customWidth="1"/>
    <col min="9" max="9" width="4.5" style="72" customWidth="1"/>
    <col min="10" max="10" width="14.5" style="72" customWidth="1"/>
    <col min="11" max="11" width="10.5" style="72" customWidth="1"/>
    <col min="12" max="12" width="8.796875" style="72"/>
    <col min="13" max="13" width="3.69921875" style="72" customWidth="1"/>
    <col min="14" max="16384" width="8.796875" style="72"/>
  </cols>
  <sheetData>
    <row r="2" spans="2:23" ht="28.8" x14ac:dyDescent="0.45">
      <c r="B2" s="79">
        <v>1</v>
      </c>
      <c r="C2" s="79" t="s">
        <v>120</v>
      </c>
      <c r="D2" s="79"/>
      <c r="J2" s="98" t="s">
        <v>180</v>
      </c>
      <c r="N2" s="79"/>
      <c r="O2" s="79"/>
      <c r="P2" s="79"/>
      <c r="V2" s="73"/>
    </row>
    <row r="3" spans="2:23" ht="24" customHeight="1" x14ac:dyDescent="0.45">
      <c r="J3" s="98" t="s">
        <v>126</v>
      </c>
      <c r="V3" s="73"/>
    </row>
    <row r="4" spans="2:23" ht="21.6" customHeight="1" x14ac:dyDescent="0.45">
      <c r="J4" s="98" t="s">
        <v>127</v>
      </c>
      <c r="V4" s="73"/>
    </row>
    <row r="5" spans="2:23" ht="21.6" customHeight="1" x14ac:dyDescent="0.45"/>
    <row r="6" spans="2:23" ht="37.799999999999997" x14ac:dyDescent="0.45">
      <c r="D6" s="81">
        <v>1</v>
      </c>
      <c r="E6" s="81" t="s">
        <v>131</v>
      </c>
      <c r="F6" s="81"/>
      <c r="G6" s="81"/>
      <c r="H6" s="81"/>
      <c r="I6" s="81"/>
      <c r="J6" s="81"/>
      <c r="K6" s="81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</row>
    <row r="8" spans="2:23" x14ac:dyDescent="0.45">
      <c r="B8" s="72" t="s">
        <v>121</v>
      </c>
    </row>
    <row r="9" spans="2:23" ht="6" customHeight="1" x14ac:dyDescent="0.45"/>
    <row r="10" spans="2:23" x14ac:dyDescent="0.45">
      <c r="C10" s="72" t="s">
        <v>157</v>
      </c>
    </row>
    <row r="12" spans="2:23" x14ac:dyDescent="0.45">
      <c r="C12" s="72" t="s">
        <v>123</v>
      </c>
      <c r="F12" s="72">
        <v>2000</v>
      </c>
      <c r="G12" s="72" t="s">
        <v>124</v>
      </c>
      <c r="H12" s="72">
        <f>徴収内訳!$E$3</f>
        <v>14</v>
      </c>
      <c r="I12" s="72" t="s">
        <v>117</v>
      </c>
      <c r="J12" s="74">
        <f>F12*H12</f>
        <v>28000</v>
      </c>
      <c r="K12" s="72" t="s">
        <v>125</v>
      </c>
      <c r="V12" s="74"/>
    </row>
    <row r="13" spans="2:23" x14ac:dyDescent="0.45">
      <c r="C13" s="99"/>
      <c r="F13" s="109"/>
      <c r="G13" s="108"/>
      <c r="H13" s="108"/>
      <c r="I13" s="108"/>
      <c r="J13" s="74"/>
      <c r="V13" s="74"/>
    </row>
    <row r="14" spans="2:23" x14ac:dyDescent="0.45">
      <c r="C14" s="99"/>
      <c r="J14" s="74"/>
      <c r="V14" s="74"/>
    </row>
    <row r="15" spans="2:23" x14ac:dyDescent="0.45">
      <c r="G15" s="72" t="s">
        <v>108</v>
      </c>
      <c r="J15" s="74">
        <f>SUM(J12:J14)</f>
        <v>28000</v>
      </c>
      <c r="K15" s="72" t="s">
        <v>125</v>
      </c>
      <c r="V15" s="74"/>
    </row>
    <row r="16" spans="2:23" ht="27" thickBot="1" x14ac:dyDescent="0.5"/>
    <row r="17" spans="2:22" ht="18.600000000000001" customHeight="1" x14ac:dyDescent="0.45">
      <c r="J17" s="76" t="s">
        <v>129</v>
      </c>
      <c r="V17" s="80"/>
    </row>
    <row r="18" spans="2:22" ht="65.400000000000006" customHeight="1" thickBot="1" x14ac:dyDescent="0.5">
      <c r="J18" s="77"/>
    </row>
    <row r="19" spans="2:22" ht="27" customHeight="1" x14ac:dyDescent="0.45">
      <c r="F19" s="73" t="s">
        <v>132</v>
      </c>
      <c r="G19" s="73"/>
      <c r="S19" s="73"/>
    </row>
    <row r="20" spans="2:22" ht="27" customHeight="1" x14ac:dyDescent="0.45">
      <c r="G20" s="73"/>
      <c r="S20" s="73"/>
    </row>
    <row r="21" spans="2:22" x14ac:dyDescent="0.45">
      <c r="C21" s="75" t="s">
        <v>133</v>
      </c>
      <c r="F21" s="75" t="s">
        <v>181</v>
      </c>
      <c r="O21" s="75"/>
    </row>
    <row r="22" spans="2:22" x14ac:dyDescent="0.45">
      <c r="G22" s="75" t="s">
        <v>128</v>
      </c>
      <c r="S22" s="75"/>
    </row>
    <row r="24" spans="2:22" x14ac:dyDescent="0.45">
      <c r="C24" s="78" t="s">
        <v>130</v>
      </c>
      <c r="O24" s="78"/>
    </row>
    <row r="29" spans="2:22" ht="28.8" x14ac:dyDescent="0.45">
      <c r="B29" s="79">
        <v>2</v>
      </c>
      <c r="C29" s="79" t="s">
        <v>120</v>
      </c>
      <c r="D29" s="79"/>
      <c r="J29" s="98" t="str">
        <f>J2</f>
        <v>2025.1.20</v>
      </c>
      <c r="N29" s="79"/>
      <c r="O29" s="79"/>
      <c r="P29" s="79"/>
      <c r="V29" s="73"/>
    </row>
    <row r="30" spans="2:22" ht="24" customHeight="1" x14ac:dyDescent="0.45">
      <c r="J30" s="98" t="s">
        <v>126</v>
      </c>
      <c r="V30" s="73"/>
    </row>
    <row r="31" spans="2:22" ht="21.6" customHeight="1" x14ac:dyDescent="0.45">
      <c r="J31" s="98" t="s">
        <v>127</v>
      </c>
      <c r="V31" s="73"/>
    </row>
    <row r="32" spans="2:22" ht="21.6" customHeight="1" x14ac:dyDescent="0.45"/>
    <row r="33" spans="1:23" ht="37.799999999999997" x14ac:dyDescent="0.45">
      <c r="A33" s="81"/>
      <c r="B33" s="81"/>
      <c r="C33" s="81"/>
      <c r="D33" s="81">
        <f>D6</f>
        <v>1</v>
      </c>
      <c r="E33" s="81" t="s">
        <v>131</v>
      </c>
      <c r="F33" s="81"/>
      <c r="G33" s="81"/>
      <c r="H33" s="81"/>
      <c r="I33" s="81"/>
      <c r="J33" s="81"/>
      <c r="K33" s="81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</row>
    <row r="35" spans="1:23" x14ac:dyDescent="0.45">
      <c r="B35" s="72" t="s">
        <v>121</v>
      </c>
    </row>
    <row r="36" spans="1:23" ht="6" customHeight="1" x14ac:dyDescent="0.45"/>
    <row r="37" spans="1:23" x14ac:dyDescent="0.45">
      <c r="B37" s="72">
        <f>D33</f>
        <v>1</v>
      </c>
      <c r="C37" s="72" t="str">
        <f>$C$10</f>
        <v>今月の徴収明細は以下の通りです。</v>
      </c>
    </row>
    <row r="39" spans="1:23" x14ac:dyDescent="0.45">
      <c r="C39" s="72" t="str">
        <f t="shared" ref="C39" si="0">C12</f>
        <v>・区協議費</v>
      </c>
      <c r="F39" s="72">
        <f>$F$12</f>
        <v>2000</v>
      </c>
      <c r="G39" s="72" t="s">
        <v>124</v>
      </c>
      <c r="H39" s="72">
        <f>徴収内訳!$F$3</f>
        <v>11</v>
      </c>
      <c r="I39" s="72" t="s">
        <v>117</v>
      </c>
      <c r="J39" s="74">
        <f>F39*H39</f>
        <v>22000</v>
      </c>
      <c r="K39" s="72" t="s">
        <v>125</v>
      </c>
      <c r="V39" s="74"/>
    </row>
    <row r="40" spans="1:23" x14ac:dyDescent="0.45">
      <c r="J40" s="74"/>
      <c r="V40" s="74"/>
    </row>
    <row r="41" spans="1:23" x14ac:dyDescent="0.45">
      <c r="J41" s="74"/>
      <c r="V41" s="74"/>
    </row>
    <row r="42" spans="1:23" x14ac:dyDescent="0.45">
      <c r="G42" s="72" t="s">
        <v>108</v>
      </c>
      <c r="J42" s="74">
        <f>SUM(J39:J41)</f>
        <v>22000</v>
      </c>
      <c r="K42" s="72" t="s">
        <v>125</v>
      </c>
      <c r="V42" s="74"/>
    </row>
    <row r="43" spans="1:23" ht="27" thickBot="1" x14ac:dyDescent="0.5"/>
    <row r="44" spans="1:23" ht="18.600000000000001" customHeight="1" x14ac:dyDescent="0.45">
      <c r="J44" s="76" t="s">
        <v>129</v>
      </c>
      <c r="V44" s="80"/>
    </row>
    <row r="45" spans="1:23" ht="65.400000000000006" customHeight="1" thickBot="1" x14ac:dyDescent="0.5">
      <c r="J45" s="77"/>
    </row>
    <row r="46" spans="1:23" ht="27" customHeight="1" x14ac:dyDescent="0.45">
      <c r="F46" s="73" t="s">
        <v>132</v>
      </c>
      <c r="G46" s="73"/>
      <c r="S46" s="73"/>
    </row>
    <row r="47" spans="1:23" ht="27" customHeight="1" x14ac:dyDescent="0.45">
      <c r="G47" s="73"/>
      <c r="S47" s="73"/>
    </row>
    <row r="48" spans="1:23" x14ac:dyDescent="0.45">
      <c r="C48" s="75" t="s">
        <v>133</v>
      </c>
      <c r="F48" s="75" t="str">
        <f>F21</f>
        <v>１月３０日（木） １８：３０以降</v>
      </c>
      <c r="O48" s="75"/>
    </row>
    <row r="49" spans="1:23" x14ac:dyDescent="0.45">
      <c r="G49" s="75" t="s">
        <v>128</v>
      </c>
      <c r="S49" s="75"/>
    </row>
    <row r="51" spans="1:23" x14ac:dyDescent="0.45">
      <c r="C51" s="78" t="s">
        <v>130</v>
      </c>
      <c r="O51" s="78"/>
    </row>
    <row r="56" spans="1:23" ht="28.8" x14ac:dyDescent="0.45">
      <c r="B56" s="79">
        <v>3</v>
      </c>
      <c r="C56" s="79" t="s">
        <v>120</v>
      </c>
      <c r="D56" s="79"/>
      <c r="J56" s="98" t="str">
        <f>J2</f>
        <v>2025.1.20</v>
      </c>
      <c r="N56" s="79"/>
      <c r="O56" s="79"/>
      <c r="P56" s="79"/>
      <c r="V56" s="73"/>
    </row>
    <row r="57" spans="1:23" ht="24" customHeight="1" x14ac:dyDescent="0.45">
      <c r="J57" s="98" t="s">
        <v>126</v>
      </c>
      <c r="V57" s="73"/>
    </row>
    <row r="58" spans="1:23" ht="21.6" customHeight="1" x14ac:dyDescent="0.45">
      <c r="J58" s="98" t="s">
        <v>127</v>
      </c>
      <c r="V58" s="73"/>
    </row>
    <row r="59" spans="1:23" ht="21.6" customHeight="1" x14ac:dyDescent="0.45"/>
    <row r="60" spans="1:23" ht="37.799999999999997" x14ac:dyDescent="0.45">
      <c r="A60" s="81"/>
      <c r="B60" s="81"/>
      <c r="C60" s="81"/>
      <c r="D60" s="81">
        <f>D6</f>
        <v>1</v>
      </c>
      <c r="E60" s="81" t="s">
        <v>131</v>
      </c>
      <c r="F60" s="81"/>
      <c r="G60" s="81"/>
      <c r="H60" s="81"/>
      <c r="I60" s="81"/>
      <c r="J60" s="81"/>
      <c r="K60" s="81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</row>
    <row r="62" spans="1:23" x14ac:dyDescent="0.45">
      <c r="B62" s="72" t="s">
        <v>121</v>
      </c>
    </row>
    <row r="63" spans="1:23" ht="6" customHeight="1" x14ac:dyDescent="0.45"/>
    <row r="64" spans="1:23" x14ac:dyDescent="0.45">
      <c r="B64" s="72">
        <f>D60</f>
        <v>1</v>
      </c>
      <c r="C64" s="72" t="str">
        <f>$C$10</f>
        <v>今月の徴収明細は以下の通りです。</v>
      </c>
    </row>
    <row r="66" spans="3:22" x14ac:dyDescent="0.45">
      <c r="C66" s="72" t="str">
        <f t="shared" ref="C66" si="1">C39</f>
        <v>・区協議費</v>
      </c>
      <c r="F66" s="72">
        <f>$F$12</f>
        <v>2000</v>
      </c>
      <c r="G66" s="72" t="s">
        <v>124</v>
      </c>
      <c r="H66" s="72">
        <f>徴収内訳!$G$3</f>
        <v>16</v>
      </c>
      <c r="I66" s="72" t="s">
        <v>117</v>
      </c>
      <c r="J66" s="74">
        <f>F66*H66</f>
        <v>32000</v>
      </c>
      <c r="K66" s="72" t="s">
        <v>125</v>
      </c>
      <c r="V66" s="74"/>
    </row>
    <row r="67" spans="3:22" x14ac:dyDescent="0.45">
      <c r="J67" s="74"/>
      <c r="V67" s="74"/>
    </row>
    <row r="68" spans="3:22" x14ac:dyDescent="0.45">
      <c r="J68" s="74"/>
      <c r="V68" s="74"/>
    </row>
    <row r="69" spans="3:22" x14ac:dyDescent="0.45">
      <c r="G69" s="72" t="s">
        <v>108</v>
      </c>
      <c r="J69" s="74">
        <f>SUM(J66:J68)</f>
        <v>32000</v>
      </c>
      <c r="K69" s="72" t="s">
        <v>125</v>
      </c>
      <c r="V69" s="74"/>
    </row>
    <row r="70" spans="3:22" ht="27" thickBot="1" x14ac:dyDescent="0.5"/>
    <row r="71" spans="3:22" ht="18.600000000000001" customHeight="1" x14ac:dyDescent="0.45">
      <c r="J71" s="76" t="s">
        <v>129</v>
      </c>
      <c r="V71" s="80"/>
    </row>
    <row r="72" spans="3:22" ht="65.400000000000006" customHeight="1" thickBot="1" x14ac:dyDescent="0.5">
      <c r="J72" s="77"/>
    </row>
    <row r="73" spans="3:22" ht="27" customHeight="1" x14ac:dyDescent="0.45">
      <c r="F73" s="73" t="s">
        <v>132</v>
      </c>
      <c r="G73" s="73"/>
      <c r="S73" s="73"/>
    </row>
    <row r="74" spans="3:22" ht="27" customHeight="1" x14ac:dyDescent="0.45">
      <c r="G74" s="73"/>
      <c r="S74" s="73"/>
    </row>
    <row r="75" spans="3:22" x14ac:dyDescent="0.45">
      <c r="C75" s="75" t="s">
        <v>133</v>
      </c>
      <c r="F75" s="75" t="str">
        <f>F21</f>
        <v>１月３０日（木） １８：３０以降</v>
      </c>
      <c r="O75" s="75"/>
    </row>
    <row r="76" spans="3:22" x14ac:dyDescent="0.45">
      <c r="G76" s="75" t="s">
        <v>128</v>
      </c>
      <c r="S76" s="75"/>
    </row>
    <row r="78" spans="3:22" x14ac:dyDescent="0.45">
      <c r="C78" s="78" t="s">
        <v>130</v>
      </c>
      <c r="O78" s="78"/>
    </row>
    <row r="79" spans="3:22" x14ac:dyDescent="0.45">
      <c r="C79" s="78"/>
      <c r="O79" s="78"/>
    </row>
    <row r="83" spans="1:23" ht="28.8" x14ac:dyDescent="0.45">
      <c r="B83" s="79">
        <v>4</v>
      </c>
      <c r="C83" s="79" t="s">
        <v>120</v>
      </c>
      <c r="D83" s="79"/>
      <c r="J83" s="98" t="str">
        <f>J2</f>
        <v>2025.1.20</v>
      </c>
      <c r="N83" s="79"/>
      <c r="O83" s="79"/>
      <c r="P83" s="79"/>
      <c r="V83" s="73"/>
    </row>
    <row r="84" spans="1:23" ht="24" customHeight="1" x14ac:dyDescent="0.45">
      <c r="J84" s="98" t="s">
        <v>126</v>
      </c>
      <c r="V84" s="73"/>
    </row>
    <row r="85" spans="1:23" ht="21.6" customHeight="1" x14ac:dyDescent="0.45">
      <c r="J85" s="98" t="s">
        <v>127</v>
      </c>
      <c r="V85" s="73"/>
    </row>
    <row r="86" spans="1:23" ht="21.6" customHeight="1" x14ac:dyDescent="0.45"/>
    <row r="87" spans="1:23" ht="37.799999999999997" x14ac:dyDescent="0.45">
      <c r="A87" s="81"/>
      <c r="B87" s="81"/>
      <c r="C87" s="81"/>
      <c r="D87" s="81">
        <f>D6</f>
        <v>1</v>
      </c>
      <c r="E87" s="81" t="s">
        <v>131</v>
      </c>
      <c r="F87" s="81"/>
      <c r="G87" s="81"/>
      <c r="H87" s="81"/>
      <c r="I87" s="81"/>
      <c r="J87" s="81"/>
      <c r="K87" s="81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</row>
    <row r="89" spans="1:23" x14ac:dyDescent="0.45">
      <c r="B89" s="72" t="s">
        <v>121</v>
      </c>
    </row>
    <row r="90" spans="1:23" ht="6" customHeight="1" x14ac:dyDescent="0.45"/>
    <row r="91" spans="1:23" x14ac:dyDescent="0.45">
      <c r="B91" s="72">
        <f>D87</f>
        <v>1</v>
      </c>
      <c r="C91" s="72" t="str">
        <f>$C$10</f>
        <v>今月の徴収明細は以下の通りです。</v>
      </c>
    </row>
    <row r="93" spans="1:23" x14ac:dyDescent="0.45">
      <c r="C93" s="72" t="str">
        <f t="shared" ref="C93" si="2">C66</f>
        <v>・区協議費</v>
      </c>
      <c r="F93" s="72">
        <f>$F$12</f>
        <v>2000</v>
      </c>
      <c r="G93" s="72" t="s">
        <v>124</v>
      </c>
      <c r="H93" s="72">
        <f>徴収内訳!$H$3</f>
        <v>12</v>
      </c>
      <c r="I93" s="72" t="s">
        <v>117</v>
      </c>
      <c r="J93" s="74">
        <f>F93*H93</f>
        <v>24000</v>
      </c>
      <c r="K93" s="72" t="s">
        <v>125</v>
      </c>
      <c r="V93" s="74"/>
    </row>
    <row r="94" spans="1:23" x14ac:dyDescent="0.45">
      <c r="J94" s="74"/>
      <c r="V94" s="74"/>
    </row>
    <row r="95" spans="1:23" x14ac:dyDescent="0.45">
      <c r="J95" s="74"/>
      <c r="V95" s="74"/>
    </row>
    <row r="96" spans="1:23" x14ac:dyDescent="0.45">
      <c r="G96" s="72" t="s">
        <v>108</v>
      </c>
      <c r="J96" s="74">
        <f>SUM(J93:J95)</f>
        <v>24000</v>
      </c>
      <c r="K96" s="72" t="s">
        <v>125</v>
      </c>
      <c r="V96" s="74"/>
    </row>
    <row r="97" spans="3:22" ht="27" thickBot="1" x14ac:dyDescent="0.5"/>
    <row r="98" spans="3:22" ht="18.600000000000001" customHeight="1" x14ac:dyDescent="0.45">
      <c r="J98" s="76" t="s">
        <v>129</v>
      </c>
      <c r="V98" s="80"/>
    </row>
    <row r="99" spans="3:22" ht="65.400000000000006" customHeight="1" thickBot="1" x14ac:dyDescent="0.5">
      <c r="J99" s="77"/>
    </row>
    <row r="100" spans="3:22" ht="27" customHeight="1" x14ac:dyDescent="0.45">
      <c r="F100" s="73" t="s">
        <v>132</v>
      </c>
      <c r="G100" s="73"/>
      <c r="S100" s="73"/>
    </row>
    <row r="101" spans="3:22" ht="27" customHeight="1" x14ac:dyDescent="0.45">
      <c r="G101" s="73"/>
      <c r="S101" s="73"/>
    </row>
    <row r="102" spans="3:22" x14ac:dyDescent="0.45">
      <c r="C102" s="75" t="s">
        <v>133</v>
      </c>
      <c r="F102" s="75" t="str">
        <f>F21</f>
        <v>１月３０日（木） １８：３０以降</v>
      </c>
      <c r="O102" s="75"/>
    </row>
    <row r="103" spans="3:22" x14ac:dyDescent="0.45">
      <c r="G103" s="75" t="s">
        <v>128</v>
      </c>
      <c r="S103" s="75"/>
    </row>
    <row r="105" spans="3:22" x14ac:dyDescent="0.45">
      <c r="C105" s="78" t="s">
        <v>130</v>
      </c>
      <c r="O105" s="78"/>
    </row>
  </sheetData>
  <mergeCells count="4">
    <mergeCell ref="M6:W6"/>
    <mergeCell ref="M33:W33"/>
    <mergeCell ref="M60:W60"/>
    <mergeCell ref="M87:W87"/>
  </mergeCells>
  <phoneticPr fontId="1"/>
  <pageMargins left="0.70866141732283472" right="0.31496062992125984" top="0.74803149606299213" bottom="0.74803149606299213" header="0.31496062992125984" footer="0.31496062992125984"/>
  <pageSetup paperSize="9" orientation="portrait" horizontalDpi="360" verticalDpi="36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AF405-72DA-4EFA-BE8A-C5645F4F7299}">
  <dimension ref="B1:B23"/>
  <sheetViews>
    <sheetView view="pageLayout" topLeftCell="B19" zoomScale="115" zoomScaleNormal="100" zoomScalePageLayoutView="115" workbookViewId="0">
      <selection activeCell="B6" sqref="B6"/>
    </sheetView>
  </sheetViews>
  <sheetFormatPr defaultRowHeight="18" x14ac:dyDescent="0.45"/>
  <cols>
    <col min="2" max="2" width="74.19921875" customWidth="1"/>
  </cols>
  <sheetData>
    <row r="1" spans="2:2" s="85" customFormat="1" ht="18.600000000000001" x14ac:dyDescent="0.45"/>
    <row r="2" spans="2:2" s="85" customFormat="1" ht="18.600000000000001" x14ac:dyDescent="0.45"/>
    <row r="3" spans="2:2" s="85" customFormat="1" ht="52.8" customHeight="1" x14ac:dyDescent="0.45">
      <c r="B3" s="87" t="s">
        <v>141</v>
      </c>
    </row>
    <row r="4" spans="2:2" s="85" customFormat="1" ht="24.6" x14ac:dyDescent="0.45">
      <c r="B4" s="89" t="s">
        <v>140</v>
      </c>
    </row>
    <row r="5" spans="2:2" s="85" customFormat="1" ht="85.2" customHeight="1" x14ac:dyDescent="0.45">
      <c r="B5" s="87" t="s">
        <v>135</v>
      </c>
    </row>
    <row r="6" spans="2:2" s="85" customFormat="1" ht="28.2" customHeight="1" x14ac:dyDescent="0.45">
      <c r="B6" s="88" t="s">
        <v>139</v>
      </c>
    </row>
    <row r="7" spans="2:2" s="85" customFormat="1" ht="22.8" x14ac:dyDescent="0.45">
      <c r="B7" s="88" t="s">
        <v>134</v>
      </c>
    </row>
    <row r="8" spans="2:2" s="85" customFormat="1" ht="17.399999999999999" customHeight="1" x14ac:dyDescent="0.45">
      <c r="B8" s="88"/>
    </row>
    <row r="9" spans="2:2" s="85" customFormat="1" ht="15.6" customHeight="1" x14ac:dyDescent="0.45">
      <c r="B9" s="87"/>
    </row>
    <row r="10" spans="2:2" s="85" customFormat="1" ht="45.6" x14ac:dyDescent="0.45">
      <c r="B10" s="87" t="s">
        <v>138</v>
      </c>
    </row>
    <row r="11" spans="2:2" s="85" customFormat="1" ht="17.399999999999999" customHeight="1" x14ac:dyDescent="0.45">
      <c r="B11" s="88"/>
    </row>
    <row r="12" spans="2:2" s="85" customFormat="1" ht="18.600000000000001" x14ac:dyDescent="0.45">
      <c r="B12" s="86" t="s">
        <v>136</v>
      </c>
    </row>
    <row r="13" spans="2:2" s="85" customFormat="1" ht="15" customHeight="1" x14ac:dyDescent="0.4">
      <c r="B13" s="92" t="s">
        <v>144</v>
      </c>
    </row>
    <row r="14" spans="2:2" s="85" customFormat="1" ht="18.600000000000001" x14ac:dyDescent="0.45">
      <c r="B14" s="91" t="s">
        <v>142</v>
      </c>
    </row>
    <row r="15" spans="2:2" s="85" customFormat="1" ht="18.600000000000001" x14ac:dyDescent="0.45">
      <c r="B15" s="86" t="s">
        <v>137</v>
      </c>
    </row>
    <row r="16" spans="2:2" x14ac:dyDescent="0.45">
      <c r="B16" s="84"/>
    </row>
    <row r="17" spans="2:2" ht="28.8" x14ac:dyDescent="0.45">
      <c r="B17" s="90" t="s">
        <v>143</v>
      </c>
    </row>
    <row r="18" spans="2:2" x14ac:dyDescent="0.45">
      <c r="B18" s="83"/>
    </row>
    <row r="19" spans="2:2" ht="19.8" customHeight="1" x14ac:dyDescent="0.45">
      <c r="B19" s="84"/>
    </row>
    <row r="20" spans="2:2" x14ac:dyDescent="0.45">
      <c r="B20" s="82"/>
    </row>
    <row r="21" spans="2:2" x14ac:dyDescent="0.45">
      <c r="B21" s="82"/>
    </row>
    <row r="22" spans="2:2" x14ac:dyDescent="0.45">
      <c r="B22" s="82"/>
    </row>
    <row r="23" spans="2:2" x14ac:dyDescent="0.45">
      <c r="B23" s="82"/>
    </row>
  </sheetData>
  <phoneticPr fontId="1"/>
  <pageMargins left="1.0333333333333334" right="0.7" top="0.75" bottom="0.75" header="0.3" footer="0.3"/>
  <pageSetup paperSize="9" orientation="portrait" horizontalDpi="360" verticalDpi="36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0A45E-F744-4CFF-BD52-E9FD4ADB2EE8}">
  <dimension ref="B1:B23"/>
  <sheetViews>
    <sheetView view="pageLayout" topLeftCell="B10" zoomScale="115" zoomScaleNormal="100" zoomScalePageLayoutView="115" workbookViewId="0">
      <selection activeCell="C10" sqref="C10"/>
    </sheetView>
  </sheetViews>
  <sheetFormatPr defaultRowHeight="18" x14ac:dyDescent="0.45"/>
  <cols>
    <col min="2" max="2" width="74.19921875" customWidth="1"/>
  </cols>
  <sheetData>
    <row r="1" spans="2:2" s="85" customFormat="1" ht="18.600000000000001" x14ac:dyDescent="0.45"/>
    <row r="2" spans="2:2" s="85" customFormat="1" ht="18.600000000000001" x14ac:dyDescent="0.45"/>
    <row r="3" spans="2:2" s="85" customFormat="1" ht="52.8" customHeight="1" x14ac:dyDescent="0.45">
      <c r="B3" s="87" t="s">
        <v>141</v>
      </c>
    </row>
    <row r="4" spans="2:2" s="85" customFormat="1" ht="24.6" x14ac:dyDescent="0.45">
      <c r="B4" s="89" t="s">
        <v>140</v>
      </c>
    </row>
    <row r="5" spans="2:2" s="85" customFormat="1" ht="85.2" customHeight="1" x14ac:dyDescent="0.45">
      <c r="B5" s="87" t="s">
        <v>135</v>
      </c>
    </row>
    <row r="6" spans="2:2" s="85" customFormat="1" ht="28.2" customHeight="1" x14ac:dyDescent="0.45">
      <c r="B6" s="88" t="s">
        <v>163</v>
      </c>
    </row>
    <row r="7" spans="2:2" s="85" customFormat="1" ht="22.8" x14ac:dyDescent="0.45">
      <c r="B7" s="88" t="s">
        <v>134</v>
      </c>
    </row>
    <row r="8" spans="2:2" s="85" customFormat="1" ht="17.399999999999999" customHeight="1" x14ac:dyDescent="0.45">
      <c r="B8" s="88"/>
    </row>
    <row r="9" spans="2:2" s="85" customFormat="1" ht="15.6" customHeight="1" x14ac:dyDescent="0.45">
      <c r="B9" s="87"/>
    </row>
    <row r="10" spans="2:2" s="85" customFormat="1" ht="45.6" x14ac:dyDescent="0.45">
      <c r="B10" s="87" t="s">
        <v>138</v>
      </c>
    </row>
    <row r="11" spans="2:2" s="85" customFormat="1" ht="17.399999999999999" customHeight="1" x14ac:dyDescent="0.45">
      <c r="B11" s="88"/>
    </row>
    <row r="12" spans="2:2" s="85" customFormat="1" ht="18.600000000000001" x14ac:dyDescent="0.45">
      <c r="B12" s="86" t="s">
        <v>136</v>
      </c>
    </row>
    <row r="13" spans="2:2" s="85" customFormat="1" ht="15" customHeight="1" x14ac:dyDescent="0.4">
      <c r="B13" s="92" t="s">
        <v>144</v>
      </c>
    </row>
    <row r="14" spans="2:2" s="85" customFormat="1" ht="18.600000000000001" x14ac:dyDescent="0.45">
      <c r="B14" s="91" t="s">
        <v>142</v>
      </c>
    </row>
    <row r="15" spans="2:2" s="85" customFormat="1" ht="18.600000000000001" x14ac:dyDescent="0.45">
      <c r="B15" s="86" t="s">
        <v>137</v>
      </c>
    </row>
    <row r="16" spans="2:2" x14ac:dyDescent="0.45">
      <c r="B16" s="84"/>
    </row>
    <row r="17" spans="2:2" ht="28.8" x14ac:dyDescent="0.45">
      <c r="B17" s="90" t="s">
        <v>143</v>
      </c>
    </row>
    <row r="18" spans="2:2" x14ac:dyDescent="0.45">
      <c r="B18" s="83"/>
    </row>
    <row r="19" spans="2:2" ht="19.8" customHeight="1" x14ac:dyDescent="0.45">
      <c r="B19" s="84"/>
    </row>
    <row r="20" spans="2:2" x14ac:dyDescent="0.45">
      <c r="B20" s="82"/>
    </row>
    <row r="21" spans="2:2" x14ac:dyDescent="0.45">
      <c r="B21" s="82"/>
    </row>
    <row r="22" spans="2:2" x14ac:dyDescent="0.45">
      <c r="B22" s="82"/>
    </row>
    <row r="23" spans="2:2" x14ac:dyDescent="0.45">
      <c r="B23" s="82"/>
    </row>
  </sheetData>
  <phoneticPr fontId="1"/>
  <pageMargins left="1.0333333333333334" right="0.7" top="0.75" bottom="0.75" header="0.3" footer="0.3"/>
  <pageSetup paperSize="9"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4</vt:i4>
      </vt:variant>
    </vt:vector>
  </HeadingPairs>
  <TitlesOfParts>
    <vt:vector size="20" baseType="lpstr">
      <vt:lpstr>組名簿</vt:lpstr>
      <vt:lpstr>印刷フォーマット</vt:lpstr>
      <vt:lpstr>徴収内訳</vt:lpstr>
      <vt:lpstr>募金・会費納入明細</vt:lpstr>
      <vt:lpstr>4月度</vt:lpstr>
      <vt:lpstr>5月度</vt:lpstr>
      <vt:lpstr>６月度</vt:lpstr>
      <vt:lpstr>7月度 </vt:lpstr>
      <vt:lpstr>8月度</vt:lpstr>
      <vt:lpstr>9月度</vt:lpstr>
      <vt:lpstr>10月度</vt:lpstr>
      <vt:lpstr>11月度</vt:lpstr>
      <vt:lpstr>12月度</vt:lpstr>
      <vt:lpstr>1月度</vt:lpstr>
      <vt:lpstr>大野様 前期</vt:lpstr>
      <vt:lpstr>大野様 後期</vt:lpstr>
      <vt:lpstr>開始</vt:lpstr>
      <vt:lpstr>終了</vt:lpstr>
      <vt:lpstr>組</vt:lpstr>
      <vt:lpstr>名前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Michihiko Yonetsu</dc:creator>
  <cp:lastModifiedBy>Michihiko Yonetsu</cp:lastModifiedBy>
  <cp:lastPrinted>2025-06-13T07:57:46Z</cp:lastPrinted>
  <dcterms:created xsi:type="dcterms:W3CDTF">2024-03-31T01:17:14Z</dcterms:created>
  <dcterms:modified xsi:type="dcterms:W3CDTF">2025-06-13T09:09:48Z</dcterms:modified>
</cp:coreProperties>
</file>